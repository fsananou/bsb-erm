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yananou/Documents/fananou-git/bsb-erm/"/>
    </mc:Choice>
  </mc:AlternateContent>
  <xr:revisionPtr revIDLastSave="0" documentId="8_{0B567996-9715-8247-817B-5B9D7BEF43FE}" xr6:coauthVersionLast="47" xr6:coauthVersionMax="47" xr10:uidLastSave="{00000000-0000-0000-0000-000000000000}"/>
  <bookViews>
    <workbookView xWindow="1240" yWindow="1340" windowWidth="24820" windowHeight="17720" activeTab="1" xr2:uid="{522DD71B-8FD5-034A-B7D0-1391C34061A4}"/>
  </bookViews>
  <sheets>
    <sheet name="Sheet1" sheetId="1" r:id="rId1"/>
    <sheet name="Sheet2" sheetId="2" r:id="rId2"/>
  </sheets>
  <definedNames>
    <definedName name="_xlchart.v1.0" hidden="1">Sheet2!$E$2:$E$250</definedName>
    <definedName name="_xlchart.v1.1" hidden="1">Sheet2!$D$2:$D$250</definedName>
    <definedName name="_xlchart.v1.2" hidden="1">Sheet2!$E$2:$E$250</definedName>
    <definedName name="_xlchart.v1.3" hidden="1">Sheet2!$E$2:$E$250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8" i="2" l="1"/>
  <c r="L7" i="2"/>
  <c r="J8" i="2"/>
  <c r="J7" i="2"/>
  <c r="I8" i="2"/>
  <c r="I7" i="2"/>
  <c r="J4" i="2"/>
  <c r="J3" i="2"/>
  <c r="I4" i="2"/>
  <c r="I3" i="2"/>
  <c r="E245" i="2"/>
  <c r="E75" i="2"/>
  <c r="E233" i="2"/>
  <c r="E140" i="2"/>
  <c r="E19" i="2"/>
  <c r="E74" i="2"/>
  <c r="E221" i="2"/>
  <c r="E227" i="2"/>
  <c r="E107" i="2"/>
  <c r="E203" i="2"/>
  <c r="E59" i="2"/>
  <c r="E123" i="2"/>
  <c r="E210" i="2"/>
  <c r="E56" i="2"/>
  <c r="E91" i="2"/>
  <c r="E247" i="2"/>
  <c r="E164" i="2"/>
  <c r="E149" i="2"/>
  <c r="E124" i="2"/>
  <c r="E55" i="2"/>
  <c r="E61" i="2"/>
  <c r="E84" i="2"/>
  <c r="E6" i="2"/>
  <c r="E62" i="2"/>
  <c r="E150" i="2"/>
  <c r="E30" i="2"/>
  <c r="E28" i="2"/>
  <c r="E94" i="2"/>
  <c r="E176" i="2"/>
  <c r="E37" i="2"/>
  <c r="E50" i="2"/>
  <c r="E184" i="2"/>
  <c r="E194" i="2"/>
  <c r="E136" i="2"/>
  <c r="E69" i="2"/>
  <c r="E248" i="2"/>
  <c r="E101" i="2"/>
  <c r="E53" i="2"/>
  <c r="E116" i="2"/>
  <c r="E4" i="2"/>
  <c r="E66" i="2"/>
  <c r="E191" i="2"/>
  <c r="E215" i="2"/>
  <c r="E10" i="2"/>
  <c r="E160" i="2"/>
  <c r="E167" i="2"/>
  <c r="E188" i="2"/>
  <c r="E157" i="2"/>
  <c r="E211" i="2"/>
  <c r="E41" i="2"/>
  <c r="E250" i="2"/>
  <c r="E71" i="2"/>
  <c r="E152" i="2"/>
  <c r="E110" i="2"/>
  <c r="E114" i="2"/>
  <c r="E128" i="2"/>
  <c r="E148" i="2"/>
  <c r="E103" i="2"/>
  <c r="E35" i="2"/>
  <c r="E79" i="2"/>
  <c r="E162" i="2"/>
  <c r="E13" i="2"/>
  <c r="E131" i="2"/>
  <c r="E120" i="2"/>
  <c r="E165" i="2"/>
  <c r="E52" i="2"/>
  <c r="E201" i="2"/>
  <c r="E51" i="2"/>
  <c r="E172" i="2"/>
  <c r="E151" i="2"/>
  <c r="E130" i="2"/>
  <c r="E198" i="2"/>
  <c r="E217" i="2"/>
  <c r="E179" i="2"/>
  <c r="E121" i="2"/>
  <c r="E7" i="2"/>
  <c r="E225" i="2"/>
  <c r="E68" i="2"/>
  <c r="E219" i="2"/>
  <c r="E49" i="2"/>
  <c r="E187" i="2"/>
  <c r="E46" i="2"/>
  <c r="E90" i="2"/>
  <c r="E173" i="2"/>
  <c r="E226" i="2"/>
  <c r="E146" i="2"/>
  <c r="E249" i="2"/>
  <c r="E42" i="2"/>
  <c r="E26" i="2"/>
  <c r="E86" i="2"/>
  <c r="E192" i="2"/>
  <c r="E33" i="2"/>
  <c r="E39" i="2"/>
  <c r="E200" i="2"/>
  <c r="E232" i="2"/>
  <c r="E77" i="2"/>
  <c r="E223" i="2"/>
  <c r="E18" i="2"/>
  <c r="E20" i="2"/>
  <c r="E3" i="2"/>
  <c r="E159" i="2"/>
  <c r="E220" i="2"/>
  <c r="E205" i="2"/>
  <c r="E202" i="2"/>
  <c r="E129" i="2"/>
  <c r="E65" i="2"/>
  <c r="E43" i="2"/>
  <c r="E85" i="2"/>
  <c r="E98" i="2"/>
  <c r="E111" i="2"/>
  <c r="E70" i="2"/>
  <c r="E73" i="2"/>
  <c r="E36" i="2"/>
  <c r="E58" i="2"/>
  <c r="E180" i="2"/>
  <c r="E208" i="2"/>
  <c r="E137" i="2"/>
  <c r="E104" i="2"/>
  <c r="E158" i="2"/>
  <c r="E23" i="2"/>
  <c r="E139" i="2"/>
  <c r="E105" i="2"/>
  <c r="E8" i="2"/>
  <c r="E163" i="2"/>
  <c r="E14" i="2"/>
  <c r="E237" i="2"/>
  <c r="E106" i="2"/>
  <c r="E113" i="2"/>
  <c r="E102" i="2"/>
  <c r="E238" i="2"/>
  <c r="E143" i="2"/>
  <c r="E209" i="2"/>
  <c r="E189" i="2"/>
  <c r="E144" i="2"/>
  <c r="E206" i="2"/>
  <c r="E127" i="2"/>
  <c r="E40" i="2"/>
  <c r="E99" i="2"/>
  <c r="E2" i="2"/>
  <c r="E32" i="2"/>
  <c r="E243" i="2"/>
  <c r="E54" i="2"/>
  <c r="E228" i="2"/>
  <c r="E96" i="2"/>
  <c r="E230" i="2"/>
  <c r="E63" i="2"/>
  <c r="E72" i="2"/>
  <c r="E100" i="2"/>
  <c r="E156" i="2"/>
  <c r="E115" i="2"/>
  <c r="E118" i="2"/>
  <c r="E16" i="2"/>
  <c r="E93" i="2"/>
  <c r="E181" i="2"/>
  <c r="E38" i="2"/>
  <c r="E134" i="2"/>
  <c r="E155" i="2"/>
  <c r="E48" i="2"/>
  <c r="E169" i="2"/>
  <c r="E242" i="2"/>
  <c r="E76" i="2"/>
  <c r="E182" i="2"/>
  <c r="E112" i="2"/>
  <c r="E235" i="2"/>
  <c r="E25" i="2"/>
  <c r="E222" i="2"/>
  <c r="E122" i="2"/>
  <c r="E82" i="2"/>
  <c r="E174" i="2"/>
  <c r="E178" i="2"/>
  <c r="E5" i="2"/>
  <c r="E197" i="2"/>
  <c r="E212" i="2"/>
  <c r="E196" i="2"/>
  <c r="E177" i="2"/>
  <c r="E83" i="2"/>
  <c r="E229" i="2"/>
  <c r="E231" i="2"/>
  <c r="E44" i="2"/>
  <c r="E185" i="2"/>
  <c r="E64" i="2"/>
  <c r="E21" i="2"/>
  <c r="E183" i="2"/>
  <c r="E132" i="2"/>
  <c r="E57" i="2"/>
  <c r="E11" i="2"/>
  <c r="E171" i="2"/>
  <c r="E186" i="2"/>
  <c r="E138" i="2"/>
  <c r="E218" i="2"/>
  <c r="E214" i="2"/>
  <c r="E213" i="2"/>
  <c r="E24" i="2"/>
  <c r="E80" i="2"/>
  <c r="E207" i="2"/>
  <c r="E88" i="2"/>
  <c r="E89" i="2"/>
  <c r="E161" i="2"/>
  <c r="E166" i="2"/>
  <c r="E170" i="2"/>
  <c r="E216" i="2"/>
  <c r="E109" i="2"/>
  <c r="E142" i="2"/>
  <c r="E190" i="2"/>
  <c r="E34" i="2"/>
  <c r="E22" i="2"/>
  <c r="E108" i="2"/>
  <c r="E224" i="2"/>
  <c r="E9" i="2"/>
  <c r="E234" i="2"/>
  <c r="E236" i="2"/>
  <c r="E195" i="2"/>
  <c r="E135" i="2"/>
  <c r="E145" i="2"/>
  <c r="E17" i="2"/>
  <c r="E126" i="2"/>
  <c r="E87" i="2"/>
  <c r="E27" i="2"/>
  <c r="E168" i="2"/>
  <c r="E12" i="2"/>
  <c r="E244" i="2"/>
  <c r="E240" i="2"/>
  <c r="E117" i="2"/>
  <c r="E67" i="2"/>
  <c r="E15" i="2"/>
  <c r="E78" i="2"/>
  <c r="E92" i="2"/>
  <c r="E239" i="2"/>
  <c r="E133" i="2"/>
  <c r="E147" i="2"/>
  <c r="E125" i="2"/>
  <c r="E153" i="2"/>
  <c r="E175" i="2"/>
  <c r="E204" i="2"/>
  <c r="E29" i="2"/>
  <c r="E31" i="2"/>
  <c r="E141" i="2"/>
  <c r="E246" i="2"/>
  <c r="E45" i="2"/>
  <c r="E119" i="2"/>
  <c r="E199" i="2"/>
  <c r="E97" i="2"/>
  <c r="E60" i="2"/>
  <c r="E81" i="2"/>
  <c r="E241" i="2"/>
  <c r="E154" i="2"/>
  <c r="E193" i="2"/>
  <c r="E47" i="2"/>
  <c r="E95" i="2"/>
  <c r="B2" i="1"/>
  <c r="A3" i="1"/>
  <c r="B3" i="1"/>
  <c r="C3" i="1"/>
  <c r="A4" i="1"/>
  <c r="B4" i="1"/>
  <c r="C4" i="1"/>
  <c r="A5" i="1"/>
  <c r="B5" i="1"/>
  <c r="C5" i="1"/>
  <c r="A6" i="1"/>
  <c r="B6" i="1"/>
  <c r="C6" i="1"/>
  <c r="A7" i="1"/>
  <c r="B7" i="1"/>
  <c r="C7" i="1"/>
  <c r="A8" i="1"/>
  <c r="B8" i="1"/>
  <c r="C8" i="1"/>
  <c r="A9" i="1"/>
  <c r="B9" i="1"/>
  <c r="C9" i="1"/>
  <c r="A10" i="1"/>
  <c r="B10" i="1"/>
  <c r="C10" i="1"/>
  <c r="A11" i="1"/>
  <c r="B11" i="1"/>
  <c r="C11" i="1"/>
  <c r="A12" i="1"/>
  <c r="B12" i="1"/>
  <c r="C12" i="1"/>
  <c r="A13" i="1"/>
  <c r="B13" i="1"/>
  <c r="C13" i="1"/>
  <c r="A14" i="1"/>
  <c r="B14" i="1"/>
  <c r="C14" i="1"/>
  <c r="A15" i="1"/>
  <c r="B15" i="1"/>
  <c r="C15" i="1"/>
  <c r="A16" i="1"/>
  <c r="B16" i="1"/>
  <c r="C16" i="1"/>
  <c r="A17" i="1"/>
  <c r="B17" i="1"/>
  <c r="C17" i="1"/>
  <c r="A18" i="1"/>
  <c r="B18" i="1"/>
  <c r="C18" i="1"/>
  <c r="A19" i="1"/>
  <c r="B19" i="1"/>
  <c r="C19" i="1"/>
  <c r="A20" i="1"/>
  <c r="B20" i="1"/>
  <c r="C20" i="1"/>
  <c r="A21" i="1"/>
  <c r="B21" i="1"/>
  <c r="C21" i="1"/>
  <c r="A22" i="1"/>
  <c r="B22" i="1"/>
  <c r="C22" i="1"/>
  <c r="A23" i="1"/>
  <c r="B23" i="1"/>
  <c r="C23" i="1"/>
  <c r="A24" i="1"/>
  <c r="B24" i="1"/>
  <c r="C24" i="1"/>
  <c r="A25" i="1"/>
  <c r="B25" i="1"/>
  <c r="C25" i="1"/>
  <c r="A26" i="1"/>
  <c r="B26" i="1"/>
  <c r="C26" i="1"/>
  <c r="A27" i="1"/>
  <c r="B27" i="1"/>
  <c r="C27" i="1"/>
  <c r="A28" i="1"/>
  <c r="B28" i="1"/>
  <c r="C28" i="1"/>
  <c r="A29" i="1"/>
  <c r="B29" i="1"/>
  <c r="C29" i="1"/>
  <c r="A30" i="1"/>
  <c r="B30" i="1"/>
  <c r="C30" i="1"/>
  <c r="A31" i="1"/>
  <c r="B31" i="1"/>
  <c r="C31" i="1"/>
  <c r="A32" i="1"/>
  <c r="B32" i="1"/>
  <c r="C32" i="1"/>
  <c r="A33" i="1"/>
  <c r="B33" i="1"/>
  <c r="C33" i="1"/>
  <c r="A34" i="1"/>
  <c r="B34" i="1"/>
  <c r="C34" i="1"/>
  <c r="A35" i="1"/>
  <c r="B35" i="1"/>
  <c r="C35" i="1"/>
  <c r="A36" i="1"/>
  <c r="B36" i="1"/>
  <c r="C36" i="1"/>
  <c r="A37" i="1"/>
  <c r="B37" i="1"/>
  <c r="C37" i="1"/>
  <c r="A38" i="1"/>
  <c r="B38" i="1"/>
  <c r="C38" i="1"/>
  <c r="A39" i="1"/>
  <c r="B39" i="1"/>
  <c r="C39" i="1"/>
  <c r="A40" i="1"/>
  <c r="B40" i="1"/>
  <c r="C40" i="1"/>
  <c r="A41" i="1"/>
  <c r="B41" i="1"/>
  <c r="C41" i="1"/>
  <c r="A42" i="1"/>
  <c r="B42" i="1"/>
  <c r="C42" i="1"/>
  <c r="A43" i="1"/>
  <c r="B43" i="1"/>
  <c r="C43" i="1"/>
  <c r="A44" i="1"/>
  <c r="B44" i="1"/>
  <c r="C44" i="1"/>
  <c r="A45" i="1"/>
  <c r="B45" i="1"/>
  <c r="C45" i="1"/>
  <c r="A46" i="1"/>
  <c r="B46" i="1"/>
  <c r="C46" i="1"/>
  <c r="A47" i="1"/>
  <c r="B47" i="1"/>
  <c r="C47" i="1"/>
  <c r="A48" i="1"/>
  <c r="B48" i="1"/>
  <c r="C48" i="1"/>
  <c r="A49" i="1"/>
  <c r="B49" i="1"/>
  <c r="C49" i="1"/>
  <c r="A50" i="1"/>
  <c r="B50" i="1"/>
  <c r="C50" i="1"/>
  <c r="A51" i="1"/>
  <c r="B51" i="1"/>
  <c r="C51" i="1"/>
  <c r="A52" i="1"/>
  <c r="B52" i="1"/>
  <c r="C52" i="1"/>
  <c r="A53" i="1"/>
  <c r="B53" i="1"/>
  <c r="C53" i="1"/>
  <c r="A54" i="1"/>
  <c r="B54" i="1"/>
  <c r="C54" i="1"/>
  <c r="A55" i="1"/>
  <c r="B55" i="1"/>
  <c r="C55" i="1"/>
  <c r="A56" i="1"/>
  <c r="B56" i="1"/>
  <c r="C56" i="1"/>
  <c r="A57" i="1"/>
  <c r="B57" i="1"/>
  <c r="C57" i="1"/>
  <c r="A58" i="1"/>
  <c r="B58" i="1"/>
  <c r="C58" i="1"/>
  <c r="A59" i="1"/>
  <c r="B59" i="1"/>
  <c r="C59" i="1"/>
  <c r="A60" i="1"/>
  <c r="B60" i="1"/>
  <c r="C60" i="1"/>
  <c r="A61" i="1"/>
  <c r="B61" i="1"/>
  <c r="C61" i="1"/>
  <c r="A62" i="1"/>
  <c r="B62" i="1"/>
  <c r="C62" i="1"/>
  <c r="A63" i="1"/>
  <c r="B63" i="1"/>
  <c r="C63" i="1"/>
  <c r="A64" i="1"/>
  <c r="B64" i="1"/>
  <c r="C64" i="1"/>
  <c r="A65" i="1"/>
  <c r="B65" i="1"/>
  <c r="C65" i="1"/>
  <c r="A66" i="1"/>
  <c r="B66" i="1"/>
  <c r="C66" i="1"/>
  <c r="A67" i="1"/>
  <c r="B67" i="1"/>
  <c r="C67" i="1"/>
  <c r="A68" i="1"/>
  <c r="B68" i="1"/>
  <c r="C68" i="1"/>
  <c r="A69" i="1"/>
  <c r="B69" i="1"/>
  <c r="C69" i="1"/>
  <c r="A70" i="1"/>
  <c r="B70" i="1"/>
  <c r="C70" i="1"/>
  <c r="A71" i="1"/>
  <c r="B71" i="1"/>
  <c r="C71" i="1"/>
  <c r="A72" i="1"/>
  <c r="B72" i="1"/>
  <c r="C72" i="1"/>
  <c r="A73" i="1"/>
  <c r="B73" i="1"/>
  <c r="C73" i="1"/>
  <c r="A74" i="1"/>
  <c r="B74" i="1"/>
  <c r="C74" i="1"/>
  <c r="A75" i="1"/>
  <c r="B75" i="1"/>
  <c r="C75" i="1"/>
  <c r="A76" i="1"/>
  <c r="B76" i="1"/>
  <c r="C76" i="1"/>
  <c r="A77" i="1"/>
  <c r="B77" i="1"/>
  <c r="C77" i="1"/>
  <c r="A78" i="1"/>
  <c r="B78" i="1"/>
  <c r="C78" i="1"/>
  <c r="A79" i="1"/>
  <c r="B79" i="1"/>
  <c r="C79" i="1"/>
  <c r="A80" i="1"/>
  <c r="B80" i="1"/>
  <c r="C80" i="1"/>
  <c r="A81" i="1"/>
  <c r="B81" i="1"/>
  <c r="C81" i="1"/>
  <c r="A82" i="1"/>
  <c r="B82" i="1"/>
  <c r="C82" i="1"/>
  <c r="A83" i="1"/>
  <c r="B83" i="1"/>
  <c r="C83" i="1"/>
  <c r="A84" i="1"/>
  <c r="B84" i="1"/>
  <c r="C84" i="1"/>
  <c r="A85" i="1"/>
  <c r="B85" i="1"/>
  <c r="C85" i="1"/>
  <c r="A86" i="1"/>
  <c r="B86" i="1"/>
  <c r="C86" i="1"/>
  <c r="A87" i="1"/>
  <c r="B87" i="1"/>
  <c r="C87" i="1"/>
  <c r="A88" i="1"/>
  <c r="B88" i="1"/>
  <c r="C88" i="1"/>
  <c r="A89" i="1"/>
  <c r="B89" i="1"/>
  <c r="C89" i="1"/>
  <c r="A90" i="1"/>
  <c r="B90" i="1"/>
  <c r="C90" i="1"/>
  <c r="A91" i="1"/>
  <c r="B91" i="1"/>
  <c r="C91" i="1"/>
  <c r="A92" i="1"/>
  <c r="B92" i="1"/>
  <c r="C92" i="1"/>
  <c r="A93" i="1"/>
  <c r="B93" i="1"/>
  <c r="C93" i="1"/>
  <c r="A94" i="1"/>
  <c r="B94" i="1"/>
  <c r="C94" i="1"/>
  <c r="A95" i="1"/>
  <c r="B95" i="1"/>
  <c r="C95" i="1"/>
  <c r="A96" i="1"/>
  <c r="B96" i="1"/>
  <c r="C96" i="1"/>
  <c r="A97" i="1"/>
  <c r="B97" i="1"/>
  <c r="C97" i="1"/>
  <c r="A98" i="1"/>
  <c r="B98" i="1"/>
  <c r="C98" i="1"/>
  <c r="A99" i="1"/>
  <c r="B99" i="1"/>
  <c r="C99" i="1"/>
  <c r="A100" i="1"/>
  <c r="B100" i="1"/>
  <c r="C100" i="1"/>
  <c r="A101" i="1"/>
  <c r="B101" i="1"/>
  <c r="C101" i="1"/>
  <c r="A102" i="1"/>
  <c r="B102" i="1"/>
  <c r="C102" i="1"/>
  <c r="A103" i="1"/>
  <c r="B103" i="1"/>
  <c r="C103" i="1"/>
  <c r="A104" i="1"/>
  <c r="B104" i="1"/>
  <c r="C104" i="1"/>
  <c r="A105" i="1"/>
  <c r="B105" i="1"/>
  <c r="C105" i="1"/>
  <c r="A106" i="1"/>
  <c r="B106" i="1"/>
  <c r="C106" i="1"/>
  <c r="A107" i="1"/>
  <c r="B107" i="1"/>
  <c r="C107" i="1"/>
  <c r="A108" i="1"/>
  <c r="B108" i="1"/>
  <c r="C108" i="1"/>
  <c r="A109" i="1"/>
  <c r="B109" i="1"/>
  <c r="C109" i="1"/>
  <c r="A110" i="1"/>
  <c r="B110" i="1"/>
  <c r="C110" i="1"/>
  <c r="A111" i="1"/>
  <c r="B111" i="1"/>
  <c r="C111" i="1"/>
  <c r="A112" i="1"/>
  <c r="B112" i="1"/>
  <c r="C112" i="1"/>
  <c r="A113" i="1"/>
  <c r="B113" i="1"/>
  <c r="C113" i="1"/>
  <c r="A114" i="1"/>
  <c r="B114" i="1"/>
  <c r="C114" i="1"/>
  <c r="A115" i="1"/>
  <c r="B115" i="1"/>
  <c r="C115" i="1"/>
  <c r="A116" i="1"/>
  <c r="B116" i="1"/>
  <c r="C116" i="1"/>
  <c r="A117" i="1"/>
  <c r="B117" i="1"/>
  <c r="C117" i="1"/>
  <c r="A118" i="1"/>
  <c r="B118" i="1"/>
  <c r="C118" i="1"/>
  <c r="A119" i="1"/>
  <c r="B119" i="1"/>
  <c r="C119" i="1"/>
  <c r="A120" i="1"/>
  <c r="B120" i="1"/>
  <c r="C120" i="1"/>
  <c r="A121" i="1"/>
  <c r="B121" i="1"/>
  <c r="C121" i="1"/>
  <c r="A122" i="1"/>
  <c r="B122" i="1"/>
  <c r="C122" i="1"/>
  <c r="A123" i="1"/>
  <c r="B123" i="1"/>
  <c r="C123" i="1"/>
  <c r="A124" i="1"/>
  <c r="B124" i="1"/>
  <c r="C124" i="1"/>
  <c r="A125" i="1"/>
  <c r="B125" i="1"/>
  <c r="C125" i="1"/>
  <c r="A126" i="1"/>
  <c r="B126" i="1"/>
  <c r="C126" i="1"/>
  <c r="A127" i="1"/>
  <c r="B127" i="1"/>
  <c r="C127" i="1"/>
  <c r="A128" i="1"/>
  <c r="B128" i="1"/>
  <c r="C128" i="1"/>
  <c r="A129" i="1"/>
  <c r="B129" i="1"/>
  <c r="C129" i="1"/>
  <c r="A130" i="1"/>
  <c r="B130" i="1"/>
  <c r="C130" i="1"/>
  <c r="A131" i="1"/>
  <c r="B131" i="1"/>
  <c r="C131" i="1"/>
  <c r="A132" i="1"/>
  <c r="B132" i="1"/>
  <c r="C132" i="1"/>
  <c r="A133" i="1"/>
  <c r="B133" i="1"/>
  <c r="C133" i="1"/>
  <c r="A134" i="1"/>
  <c r="B134" i="1"/>
  <c r="C134" i="1"/>
  <c r="A135" i="1"/>
  <c r="B135" i="1"/>
  <c r="C135" i="1"/>
  <c r="A136" i="1"/>
  <c r="B136" i="1"/>
  <c r="C136" i="1"/>
  <c r="A137" i="1"/>
  <c r="B137" i="1"/>
  <c r="C137" i="1"/>
  <c r="A138" i="1"/>
  <c r="B138" i="1"/>
  <c r="C138" i="1"/>
  <c r="A139" i="1"/>
  <c r="B139" i="1"/>
  <c r="C139" i="1"/>
  <c r="A140" i="1"/>
  <c r="B140" i="1"/>
  <c r="C140" i="1"/>
  <c r="A141" i="1"/>
  <c r="B141" i="1"/>
  <c r="C141" i="1"/>
  <c r="A142" i="1"/>
  <c r="B142" i="1"/>
  <c r="C142" i="1"/>
  <c r="A143" i="1"/>
  <c r="B143" i="1"/>
  <c r="C143" i="1"/>
  <c r="A144" i="1"/>
  <c r="B144" i="1"/>
  <c r="C144" i="1"/>
  <c r="A145" i="1"/>
  <c r="B145" i="1"/>
  <c r="C145" i="1"/>
  <c r="A146" i="1"/>
  <c r="B146" i="1"/>
  <c r="C146" i="1"/>
  <c r="A147" i="1"/>
  <c r="B147" i="1"/>
  <c r="C147" i="1"/>
  <c r="A148" i="1"/>
  <c r="B148" i="1"/>
  <c r="C148" i="1"/>
  <c r="A149" i="1"/>
  <c r="B149" i="1"/>
  <c r="C149" i="1"/>
  <c r="A150" i="1"/>
  <c r="B150" i="1"/>
  <c r="C150" i="1"/>
  <c r="A151" i="1"/>
  <c r="B151" i="1"/>
  <c r="C151" i="1"/>
  <c r="A152" i="1"/>
  <c r="B152" i="1"/>
  <c r="C152" i="1"/>
  <c r="A153" i="1"/>
  <c r="B153" i="1"/>
  <c r="C153" i="1"/>
  <c r="A154" i="1"/>
  <c r="B154" i="1"/>
  <c r="C154" i="1"/>
  <c r="A155" i="1"/>
  <c r="B155" i="1"/>
  <c r="C155" i="1"/>
  <c r="A156" i="1"/>
  <c r="B156" i="1"/>
  <c r="C156" i="1"/>
  <c r="A157" i="1"/>
  <c r="B157" i="1"/>
  <c r="C157" i="1"/>
  <c r="A158" i="1"/>
  <c r="B158" i="1"/>
  <c r="C158" i="1"/>
  <c r="A159" i="1"/>
  <c r="B159" i="1"/>
  <c r="C159" i="1"/>
  <c r="A160" i="1"/>
  <c r="B160" i="1"/>
  <c r="C160" i="1"/>
  <c r="A161" i="1"/>
  <c r="B161" i="1"/>
  <c r="C161" i="1"/>
  <c r="A162" i="1"/>
  <c r="B162" i="1"/>
  <c r="C162" i="1"/>
  <c r="A163" i="1"/>
  <c r="B163" i="1"/>
  <c r="C163" i="1"/>
  <c r="A164" i="1"/>
  <c r="B164" i="1"/>
  <c r="C164" i="1"/>
  <c r="A165" i="1"/>
  <c r="B165" i="1"/>
  <c r="C165" i="1"/>
  <c r="A166" i="1"/>
  <c r="B166" i="1"/>
  <c r="C166" i="1"/>
  <c r="A167" i="1"/>
  <c r="B167" i="1"/>
  <c r="C167" i="1"/>
  <c r="A168" i="1"/>
  <c r="B168" i="1"/>
  <c r="C168" i="1"/>
  <c r="A169" i="1"/>
  <c r="B169" i="1"/>
  <c r="C169" i="1"/>
  <c r="A170" i="1"/>
  <c r="B170" i="1"/>
  <c r="C170" i="1"/>
  <c r="A171" i="1"/>
  <c r="B171" i="1"/>
  <c r="C171" i="1"/>
  <c r="A172" i="1"/>
  <c r="B172" i="1"/>
  <c r="C172" i="1"/>
  <c r="A173" i="1"/>
  <c r="B173" i="1"/>
  <c r="C173" i="1"/>
  <c r="A174" i="1"/>
  <c r="B174" i="1"/>
  <c r="C174" i="1"/>
  <c r="A175" i="1"/>
  <c r="B175" i="1"/>
  <c r="C175" i="1"/>
  <c r="A176" i="1"/>
  <c r="B176" i="1"/>
  <c r="C176" i="1"/>
  <c r="A177" i="1"/>
  <c r="B177" i="1"/>
  <c r="C177" i="1"/>
  <c r="A178" i="1"/>
  <c r="B178" i="1"/>
  <c r="C178" i="1"/>
  <c r="A179" i="1"/>
  <c r="B179" i="1"/>
  <c r="C179" i="1"/>
  <c r="A180" i="1"/>
  <c r="B180" i="1"/>
  <c r="C180" i="1"/>
  <c r="A181" i="1"/>
  <c r="B181" i="1"/>
  <c r="C181" i="1"/>
  <c r="A182" i="1"/>
  <c r="B182" i="1"/>
  <c r="C182" i="1"/>
  <c r="A183" i="1"/>
  <c r="B183" i="1"/>
  <c r="C183" i="1"/>
  <c r="A184" i="1"/>
  <c r="B184" i="1"/>
  <c r="C184" i="1"/>
  <c r="A185" i="1"/>
  <c r="B185" i="1"/>
  <c r="C185" i="1"/>
  <c r="A186" i="1"/>
  <c r="B186" i="1"/>
  <c r="C186" i="1"/>
  <c r="A187" i="1"/>
  <c r="B187" i="1"/>
  <c r="C187" i="1"/>
  <c r="A188" i="1"/>
  <c r="B188" i="1"/>
  <c r="C188" i="1"/>
  <c r="A189" i="1"/>
  <c r="B189" i="1"/>
  <c r="C189" i="1"/>
  <c r="A190" i="1"/>
  <c r="B190" i="1"/>
  <c r="C190" i="1"/>
  <c r="A191" i="1"/>
  <c r="B191" i="1"/>
  <c r="C191" i="1"/>
  <c r="A192" i="1"/>
  <c r="B192" i="1"/>
  <c r="C192" i="1"/>
  <c r="A193" i="1"/>
  <c r="B193" i="1"/>
  <c r="C193" i="1"/>
  <c r="A194" i="1"/>
  <c r="B194" i="1"/>
  <c r="C194" i="1"/>
  <c r="A195" i="1"/>
  <c r="B195" i="1"/>
  <c r="C195" i="1"/>
  <c r="A196" i="1"/>
  <c r="B196" i="1"/>
  <c r="C196" i="1"/>
  <c r="A197" i="1"/>
  <c r="B197" i="1"/>
  <c r="C197" i="1"/>
  <c r="A198" i="1"/>
  <c r="B198" i="1"/>
  <c r="C198" i="1"/>
  <c r="A199" i="1"/>
  <c r="B199" i="1"/>
  <c r="C199" i="1"/>
  <c r="A200" i="1"/>
  <c r="B200" i="1"/>
  <c r="C200" i="1"/>
  <c r="A201" i="1"/>
  <c r="B201" i="1"/>
  <c r="C201" i="1"/>
  <c r="A202" i="1"/>
  <c r="B202" i="1"/>
  <c r="C202" i="1"/>
  <c r="A203" i="1"/>
  <c r="B203" i="1"/>
  <c r="C203" i="1"/>
  <c r="A204" i="1"/>
  <c r="B204" i="1"/>
  <c r="C204" i="1"/>
  <c r="A205" i="1"/>
  <c r="B205" i="1"/>
  <c r="C205" i="1"/>
  <c r="A206" i="1"/>
  <c r="B206" i="1"/>
  <c r="C206" i="1"/>
  <c r="A207" i="1"/>
  <c r="B207" i="1"/>
  <c r="C207" i="1"/>
  <c r="A208" i="1"/>
  <c r="B208" i="1"/>
  <c r="C208" i="1"/>
  <c r="A209" i="1"/>
  <c r="B209" i="1"/>
  <c r="C209" i="1"/>
  <c r="A210" i="1"/>
  <c r="B210" i="1"/>
  <c r="C210" i="1"/>
  <c r="A211" i="1"/>
  <c r="B211" i="1"/>
  <c r="C211" i="1"/>
  <c r="A212" i="1"/>
  <c r="B212" i="1"/>
  <c r="C212" i="1"/>
  <c r="A213" i="1"/>
  <c r="B213" i="1"/>
  <c r="C213" i="1"/>
  <c r="A214" i="1"/>
  <c r="B214" i="1"/>
  <c r="C214" i="1"/>
  <c r="A215" i="1"/>
  <c r="B215" i="1"/>
  <c r="C215" i="1"/>
  <c r="A216" i="1"/>
  <c r="B216" i="1"/>
  <c r="C216" i="1"/>
  <c r="A217" i="1"/>
  <c r="B217" i="1"/>
  <c r="C217" i="1"/>
  <c r="A218" i="1"/>
  <c r="B218" i="1"/>
  <c r="C218" i="1"/>
  <c r="A219" i="1"/>
  <c r="B219" i="1"/>
  <c r="C219" i="1"/>
  <c r="A220" i="1"/>
  <c r="B220" i="1"/>
  <c r="C220" i="1"/>
  <c r="A221" i="1"/>
  <c r="B221" i="1"/>
  <c r="C221" i="1"/>
  <c r="A222" i="1"/>
  <c r="B222" i="1"/>
  <c r="C222" i="1"/>
  <c r="A223" i="1"/>
  <c r="B223" i="1"/>
  <c r="C223" i="1"/>
  <c r="A224" i="1"/>
  <c r="B224" i="1"/>
  <c r="C224" i="1"/>
  <c r="A225" i="1"/>
  <c r="B225" i="1"/>
  <c r="C225" i="1"/>
  <c r="A226" i="1"/>
  <c r="B226" i="1"/>
  <c r="C226" i="1"/>
  <c r="A227" i="1"/>
  <c r="B227" i="1"/>
  <c r="C227" i="1"/>
  <c r="A228" i="1"/>
  <c r="B228" i="1"/>
  <c r="C228" i="1"/>
  <c r="A229" i="1"/>
  <c r="B229" i="1"/>
  <c r="C229" i="1"/>
  <c r="A230" i="1"/>
  <c r="B230" i="1"/>
  <c r="C230" i="1"/>
  <c r="A231" i="1"/>
  <c r="B231" i="1"/>
  <c r="C231" i="1"/>
  <c r="A232" i="1"/>
  <c r="B232" i="1"/>
  <c r="C232" i="1"/>
  <c r="A233" i="1"/>
  <c r="B233" i="1"/>
  <c r="C233" i="1"/>
  <c r="A234" i="1"/>
  <c r="B234" i="1"/>
  <c r="C234" i="1"/>
  <c r="A235" i="1"/>
  <c r="B235" i="1"/>
  <c r="C235" i="1"/>
  <c r="A236" i="1"/>
  <c r="B236" i="1"/>
  <c r="C236" i="1"/>
  <c r="A237" i="1"/>
  <c r="B237" i="1"/>
  <c r="C237" i="1"/>
  <c r="A238" i="1"/>
  <c r="B238" i="1"/>
  <c r="C238" i="1"/>
  <c r="A239" i="1"/>
  <c r="B239" i="1"/>
  <c r="C239" i="1"/>
  <c r="A240" i="1"/>
  <c r="B240" i="1"/>
  <c r="C240" i="1"/>
  <c r="A241" i="1"/>
  <c r="B241" i="1"/>
  <c r="C241" i="1"/>
  <c r="A242" i="1"/>
  <c r="B242" i="1"/>
  <c r="C242" i="1"/>
  <c r="A243" i="1"/>
  <c r="B243" i="1"/>
  <c r="C243" i="1"/>
  <c r="A244" i="1"/>
  <c r="B244" i="1"/>
  <c r="C244" i="1"/>
  <c r="A245" i="1"/>
  <c r="B245" i="1"/>
  <c r="C245" i="1"/>
  <c r="A246" i="1"/>
  <c r="B246" i="1"/>
  <c r="C246" i="1"/>
  <c r="A247" i="1"/>
  <c r="B247" i="1"/>
  <c r="C247" i="1"/>
  <c r="A248" i="1"/>
  <c r="B248" i="1"/>
  <c r="C248" i="1"/>
  <c r="A249" i="1"/>
  <c r="B249" i="1"/>
  <c r="C249" i="1"/>
  <c r="A250" i="1"/>
  <c r="B250" i="1"/>
  <c r="C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C2" i="1"/>
  <c r="A2" i="1"/>
  <c r="D89" i="1" l="1"/>
  <c r="D53" i="1"/>
  <c r="D38" i="1"/>
  <c r="D171" i="1"/>
  <c r="D167" i="1"/>
  <c r="D163" i="1"/>
  <c r="D119" i="1"/>
  <c r="D87" i="1"/>
  <c r="D83" i="1"/>
  <c r="D79" i="1"/>
  <c r="D75" i="1"/>
  <c r="D71" i="1"/>
  <c r="D67" i="1"/>
  <c r="D63" i="1"/>
  <c r="D59" i="1"/>
  <c r="D55" i="1"/>
  <c r="D51" i="1"/>
  <c r="D47" i="1"/>
  <c r="D43" i="1"/>
  <c r="D39" i="1"/>
  <c r="D35" i="1"/>
  <c r="D31" i="1"/>
  <c r="D27" i="1"/>
  <c r="D23" i="1"/>
  <c r="D19" i="1"/>
  <c r="D15" i="1"/>
  <c r="D11" i="1"/>
  <c r="D7" i="1"/>
  <c r="D3" i="1"/>
  <c r="D18" i="1"/>
  <c r="D173" i="1"/>
  <c r="D169" i="1"/>
  <c r="D165" i="1"/>
  <c r="D85" i="1"/>
  <c r="D81" i="1"/>
  <c r="D77" i="1"/>
  <c r="D73" i="1"/>
  <c r="D69" i="1"/>
  <c r="D65" i="1"/>
  <c r="D61" i="1"/>
  <c r="D57" i="1"/>
  <c r="D49" i="1"/>
  <c r="D45" i="1"/>
  <c r="D41" i="1"/>
  <c r="D37" i="1"/>
  <c r="D33" i="1"/>
  <c r="D29" i="1"/>
  <c r="D25" i="1"/>
  <c r="D21" i="1"/>
  <c r="D17" i="1"/>
  <c r="D13" i="1"/>
  <c r="D9" i="1"/>
  <c r="D5" i="1"/>
  <c r="D114" i="1"/>
  <c r="D110" i="1"/>
  <c r="D106" i="1"/>
  <c r="D102" i="1"/>
  <c r="D98" i="1"/>
  <c r="D94" i="1"/>
  <c r="D90" i="1"/>
  <c r="D168" i="1"/>
  <c r="D164" i="1"/>
  <c r="D160" i="1"/>
  <c r="D156" i="1"/>
  <c r="D152" i="1"/>
  <c r="D148" i="1"/>
  <c r="D144" i="1"/>
  <c r="D140" i="1"/>
  <c r="D136" i="1"/>
  <c r="D132" i="1"/>
  <c r="D128" i="1"/>
  <c r="D124" i="1"/>
  <c r="D120" i="1"/>
  <c r="D115" i="1"/>
  <c r="D111" i="1"/>
  <c r="D107" i="1"/>
  <c r="D103" i="1"/>
  <c r="D99" i="1"/>
  <c r="D95" i="1"/>
  <c r="D91" i="1"/>
  <c r="D116" i="1"/>
  <c r="D112" i="1"/>
  <c r="D108" i="1"/>
  <c r="D104" i="1"/>
  <c r="D100" i="1"/>
  <c r="D96" i="1"/>
  <c r="D92" i="1"/>
  <c r="D88" i="1"/>
  <c r="D250" i="1"/>
  <c r="D246" i="1"/>
  <c r="D242" i="1"/>
  <c r="D238" i="1"/>
  <c r="D234" i="1"/>
  <c r="D230" i="1"/>
  <c r="D226" i="1"/>
  <c r="D222" i="1"/>
  <c r="D218" i="1"/>
  <c r="D214" i="1"/>
  <c r="D210" i="1"/>
  <c r="D206" i="1"/>
  <c r="D202" i="1"/>
  <c r="D198" i="1"/>
  <c r="D194" i="1"/>
  <c r="D190" i="1"/>
  <c r="D186" i="1"/>
  <c r="D182" i="1"/>
  <c r="D178" i="1"/>
  <c r="D174" i="1"/>
  <c r="D170" i="1"/>
  <c r="D166" i="1"/>
  <c r="D162" i="1"/>
  <c r="D158" i="1"/>
  <c r="D154" i="1"/>
  <c r="D150" i="1"/>
  <c r="D146" i="1"/>
  <c r="D142" i="1"/>
  <c r="D138" i="1"/>
  <c r="D134" i="1"/>
  <c r="D130" i="1"/>
  <c r="D126" i="1"/>
  <c r="D122" i="1"/>
  <c r="D118" i="1"/>
  <c r="D113" i="1"/>
  <c r="D109" i="1"/>
  <c r="D105" i="1"/>
  <c r="D101" i="1"/>
  <c r="D97" i="1"/>
  <c r="D93" i="1"/>
  <c r="D248" i="1"/>
  <c r="D244" i="1"/>
  <c r="D240" i="1"/>
  <c r="D236" i="1"/>
  <c r="D232" i="1"/>
  <c r="D228" i="1"/>
  <c r="D224" i="1"/>
  <c r="D220" i="1"/>
  <c r="D216" i="1"/>
  <c r="D212" i="1"/>
  <c r="D208" i="1"/>
  <c r="D204" i="1"/>
  <c r="D200" i="1"/>
  <c r="D196" i="1"/>
  <c r="D192" i="1"/>
  <c r="D188" i="1"/>
  <c r="D184" i="1"/>
  <c r="D180" i="1"/>
  <c r="D176" i="1"/>
  <c r="D249" i="1"/>
  <c r="D245" i="1"/>
  <c r="D241" i="1"/>
  <c r="D237" i="1"/>
  <c r="D233" i="1"/>
  <c r="D229" i="1"/>
  <c r="D225" i="1"/>
  <c r="D221" i="1"/>
  <c r="D217" i="1"/>
  <c r="D213" i="1"/>
  <c r="D209" i="1"/>
  <c r="D205" i="1"/>
  <c r="D201" i="1"/>
  <c r="D197" i="1"/>
  <c r="D193" i="1"/>
  <c r="D189" i="1"/>
  <c r="D185" i="1"/>
  <c r="D181" i="1"/>
  <c r="D177" i="1"/>
  <c r="D172" i="1"/>
  <c r="D159" i="1"/>
  <c r="D155" i="1"/>
  <c r="D151" i="1"/>
  <c r="D147" i="1"/>
  <c r="D143" i="1"/>
  <c r="D139" i="1"/>
  <c r="D135" i="1"/>
  <c r="D131" i="1"/>
  <c r="D127" i="1"/>
  <c r="D123" i="1"/>
  <c r="D117" i="1"/>
  <c r="D84" i="1"/>
  <c r="D247" i="1"/>
  <c r="D243" i="1"/>
  <c r="D239" i="1"/>
  <c r="D235" i="1"/>
  <c r="D231" i="1"/>
  <c r="D227" i="1"/>
  <c r="D223" i="1"/>
  <c r="D219" i="1"/>
  <c r="D215" i="1"/>
  <c r="D211" i="1"/>
  <c r="D207" i="1"/>
  <c r="D203" i="1"/>
  <c r="D199" i="1"/>
  <c r="D195" i="1"/>
  <c r="D191" i="1"/>
  <c r="D187" i="1"/>
  <c r="D183" i="1"/>
  <c r="D179" i="1"/>
  <c r="D175" i="1"/>
  <c r="D161" i="1"/>
  <c r="D157" i="1"/>
  <c r="D153" i="1"/>
  <c r="D149" i="1"/>
  <c r="D145" i="1"/>
  <c r="D141" i="1"/>
  <c r="D137" i="1"/>
  <c r="D133" i="1"/>
  <c r="D129" i="1"/>
  <c r="D125" i="1"/>
  <c r="D121" i="1"/>
  <c r="D80" i="1"/>
  <c r="D76" i="1"/>
  <c r="D72" i="1"/>
  <c r="D68" i="1"/>
  <c r="D64" i="1"/>
  <c r="D60" i="1"/>
  <c r="D48" i="1"/>
  <c r="D44" i="1"/>
  <c r="D56" i="1"/>
  <c r="D52" i="1"/>
  <c r="D40" i="1"/>
  <c r="D36" i="1"/>
  <c r="D32" i="1"/>
  <c r="D28" i="1"/>
  <c r="D24" i="1"/>
  <c r="D20" i="1"/>
  <c r="D16" i="1"/>
  <c r="D12" i="1"/>
  <c r="D8" i="1"/>
  <c r="D4" i="1"/>
  <c r="D46" i="1"/>
  <c r="D42" i="1"/>
  <c r="D34" i="1"/>
  <c r="D30" i="1"/>
  <c r="D26" i="1"/>
  <c r="D22" i="1"/>
  <c r="D14" i="1"/>
  <c r="D10" i="1"/>
  <c r="D6" i="1"/>
  <c r="D86" i="1"/>
  <c r="D82" i="1"/>
  <c r="D78" i="1"/>
  <c r="D74" i="1"/>
  <c r="D70" i="1"/>
  <c r="D66" i="1"/>
  <c r="D62" i="1"/>
  <c r="D58" i="1"/>
  <c r="D54" i="1"/>
  <c r="D50" i="1"/>
  <c r="D2" i="1"/>
</calcChain>
</file>

<file path=xl/sharedStrings.xml><?xml version="1.0" encoding="utf-8"?>
<sst xmlns="http://schemas.openxmlformats.org/spreadsheetml/2006/main" count="262" uniqueCount="258">
  <si>
    <t>DATE</t>
  </si>
  <si>
    <t>RETURN</t>
  </si>
  <si>
    <t>VOLATILITY</t>
  </si>
  <si>
    <t>RETURN ADJUSTED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</si>
  <si>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</si>
  <si>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</si>
  <si>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</si>
  <si>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</si>
  <si>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</si>
  <si>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</si>
  <si>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</si>
  <si>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</si>
  <si>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</si>
  <si>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</si>
  <si>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</si>
  <si>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</si>
  <si>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</si>
  <si>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</si>
  <si>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</si>
  <si>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</si>
  <si>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</si>
  <si>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</si>
  <si>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</si>
  <si>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</si>
  <si>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</si>
  <si>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</si>
  <si>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</si>
  <si>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</si>
  <si>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</si>
  <si>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</si>
  <si>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</si>
  <si>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</si>
  <si>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</si>
  <si>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</si>
  <si>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</si>
  <si>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</si>
  <si>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</si>
  <si>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</si>
  <si>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</si>
  <si>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</si>
  <si>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</si>
  <si>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</si>
  <si>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</si>
  <si>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</si>
  <si>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</si>
  <si>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</si>
  <si>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</si>
  <si>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</si>
  <si>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</si>
  <si>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</si>
  <si>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</si>
  <si>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</si>
  <si>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</si>
  <si>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</si>
  <si>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</si>
  <si>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</si>
  <si>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day 53</t>
  </si>
  <si>
    <t>day 54</t>
  </si>
  <si>
    <t>day 55</t>
  </si>
  <si>
    <t>day 56</t>
  </si>
  <si>
    <t>day 57</t>
  </si>
  <si>
    <t>day 58</t>
  </si>
  <si>
    <t>day 59</t>
  </si>
  <si>
    <t>day 60</t>
  </si>
  <si>
    <t>day 61</t>
  </si>
  <si>
    <t>day 62</t>
  </si>
  <si>
    <t>day 63</t>
  </si>
  <si>
    <t>day 64</t>
  </si>
  <si>
    <t>day 65</t>
  </si>
  <si>
    <t>day 66</t>
  </si>
  <si>
    <t>day 67</t>
  </si>
  <si>
    <t>day 68</t>
  </si>
  <si>
    <t>day 69</t>
  </si>
  <si>
    <t>day 70</t>
  </si>
  <si>
    <t>day 71</t>
  </si>
  <si>
    <t>day 72</t>
  </si>
  <si>
    <t>day 73</t>
  </si>
  <si>
    <t>day 74</t>
  </si>
  <si>
    <t>day 75</t>
  </si>
  <si>
    <t>day 76</t>
  </si>
  <si>
    <t>day 77</t>
  </si>
  <si>
    <t>day 78</t>
  </si>
  <si>
    <t>day 79</t>
  </si>
  <si>
    <t>day 80</t>
  </si>
  <si>
    <t>day 81</t>
  </si>
  <si>
    <t>day 82</t>
  </si>
  <si>
    <t>day 83</t>
  </si>
  <si>
    <t>day 84</t>
  </si>
  <si>
    <t>day 85</t>
  </si>
  <si>
    <t>day 86</t>
  </si>
  <si>
    <t>day 87</t>
  </si>
  <si>
    <t>day 88</t>
  </si>
  <si>
    <t>day 89</t>
  </si>
  <si>
    <t>day 90</t>
  </si>
  <si>
    <t>day 91</t>
  </si>
  <si>
    <t>day 92</t>
  </si>
  <si>
    <t>day 93</t>
  </si>
  <si>
    <t>day 94</t>
  </si>
  <si>
    <t>day 95</t>
  </si>
  <si>
    <t>day 96</t>
  </si>
  <si>
    <t>day 97</t>
  </si>
  <si>
    <t>day 98</t>
  </si>
  <si>
    <t>day 99</t>
  </si>
  <si>
    <t>day 100</t>
  </si>
  <si>
    <t>day 101</t>
  </si>
  <si>
    <t>day 102</t>
  </si>
  <si>
    <t>day 103</t>
  </si>
  <si>
    <t>day 104</t>
  </si>
  <si>
    <t>day 105</t>
  </si>
  <si>
    <t>day 106</t>
  </si>
  <si>
    <t>day 107</t>
  </si>
  <si>
    <t>day 108</t>
  </si>
  <si>
    <t>day 109</t>
  </si>
  <si>
    <t>day 110</t>
  </si>
  <si>
    <t>day 111</t>
  </si>
  <si>
    <t>day 112</t>
  </si>
  <si>
    <t>day 113</t>
  </si>
  <si>
    <t>day 114</t>
  </si>
  <si>
    <t>day 115</t>
  </si>
  <si>
    <t>day 116</t>
  </si>
  <si>
    <t>day 117</t>
  </si>
  <si>
    <t>day 118</t>
  </si>
  <si>
    <t>day 119</t>
  </si>
  <si>
    <t>day 120</t>
  </si>
  <si>
    <t>day 121</t>
  </si>
  <si>
    <t>day 122</t>
  </si>
  <si>
    <t>day 123</t>
  </si>
  <si>
    <t>day 124</t>
  </si>
  <si>
    <t>day 125</t>
  </si>
  <si>
    <t>day 126</t>
  </si>
  <si>
    <t>day 127</t>
  </si>
  <si>
    <t>day 128</t>
  </si>
  <si>
    <t>day 129</t>
  </si>
  <si>
    <t>day 130</t>
  </si>
  <si>
    <t>day 131</t>
  </si>
  <si>
    <t>day 132</t>
  </si>
  <si>
    <t>day 133</t>
  </si>
  <si>
    <t>day 134</t>
  </si>
  <si>
    <t>day 135</t>
  </si>
  <si>
    <t>day 136</t>
  </si>
  <si>
    <t>day 137</t>
  </si>
  <si>
    <t>day 138</t>
  </si>
  <si>
    <t>day 139</t>
  </si>
  <si>
    <t>day 140</t>
  </si>
  <si>
    <t>day 141</t>
  </si>
  <si>
    <t>day 142</t>
  </si>
  <si>
    <t>day 143</t>
  </si>
  <si>
    <t>day 144</t>
  </si>
  <si>
    <t>day 145</t>
  </si>
  <si>
    <t>day 146</t>
  </si>
  <si>
    <t>day 147</t>
  </si>
  <si>
    <t>day 148</t>
  </si>
  <si>
    <t>day 149</t>
  </si>
  <si>
    <t>day 150</t>
  </si>
  <si>
    <t>day 151</t>
  </si>
  <si>
    <t>day 152</t>
  </si>
  <si>
    <t>day 153</t>
  </si>
  <si>
    <t>day 154</t>
  </si>
  <si>
    <t>day 155</t>
  </si>
  <si>
    <t>day 156</t>
  </si>
  <si>
    <t>day 157</t>
  </si>
  <si>
    <t>day 158</t>
  </si>
  <si>
    <t>day 159</t>
  </si>
  <si>
    <t>day 160</t>
  </si>
  <si>
    <t>day 161</t>
  </si>
  <si>
    <t>day 162</t>
  </si>
  <si>
    <t>day 163</t>
  </si>
  <si>
    <t>day 164</t>
  </si>
  <si>
    <t>day 165</t>
  </si>
  <si>
    <t>day 166</t>
  </si>
  <si>
    <t>day 167</t>
  </si>
  <si>
    <t>day 168</t>
  </si>
  <si>
    <t>day 169</t>
  </si>
  <si>
    <t>day 170</t>
  </si>
  <si>
    <t>day 171</t>
  </si>
  <si>
    <t>day 172</t>
  </si>
  <si>
    <t>day 173</t>
  </si>
  <si>
    <t>day 174</t>
  </si>
  <si>
    <t>day 175</t>
  </si>
  <si>
    <t>day 176</t>
  </si>
  <si>
    <t>day 177</t>
  </si>
  <si>
    <t>day 178</t>
  </si>
  <si>
    <t>day 179</t>
  </si>
  <si>
    <t>day 180</t>
  </si>
  <si>
    <t>day 181</t>
  </si>
  <si>
    <t>day 182</t>
  </si>
  <si>
    <t>day 183</t>
  </si>
  <si>
    <t>day 184</t>
  </si>
  <si>
    <t>day 185</t>
  </si>
  <si>
    <t>day 186</t>
  </si>
  <si>
    <t>day 187</t>
  </si>
  <si>
    <t>day 188</t>
  </si>
  <si>
    <t>day 189</t>
  </si>
  <si>
    <t>day 190</t>
  </si>
  <si>
    <t>day 191</t>
  </si>
  <si>
    <t>day 192</t>
  </si>
  <si>
    <t>day 193</t>
  </si>
  <si>
    <t>day 194</t>
  </si>
  <si>
    <t>day 195</t>
  </si>
  <si>
    <t>day 196</t>
  </si>
  <si>
    <t>day 197</t>
  </si>
  <si>
    <t>day 198</t>
  </si>
  <si>
    <t>day 199</t>
  </si>
  <si>
    <t>day 200</t>
  </si>
  <si>
    <t>day 201</t>
  </si>
  <si>
    <t>day 202</t>
  </si>
  <si>
    <t>day 203</t>
  </si>
  <si>
    <t>day 204</t>
  </si>
  <si>
    <t>day 205</t>
  </si>
  <si>
    <t>day 206</t>
  </si>
  <si>
    <t>day 207</t>
  </si>
  <si>
    <t>day 208</t>
  </si>
  <si>
    <t>day 209</t>
  </si>
  <si>
    <t>day 210</t>
  </si>
  <si>
    <t>day 211</t>
  </si>
  <si>
    <t>day 212</t>
  </si>
  <si>
    <t>day 213</t>
  </si>
  <si>
    <t>day 214</t>
  </si>
  <si>
    <t>day 215</t>
  </si>
  <si>
    <t>day 216</t>
  </si>
  <si>
    <t>day 217</t>
  </si>
  <si>
    <t>day 218</t>
  </si>
  <si>
    <t>day 219</t>
  </si>
  <si>
    <t>day 220</t>
  </si>
  <si>
    <t>day 221</t>
  </si>
  <si>
    <t>day 222</t>
  </si>
  <si>
    <t>day 223</t>
  </si>
  <si>
    <t>day 224</t>
  </si>
  <si>
    <t>day 225</t>
  </si>
  <si>
    <t>day 226</t>
  </si>
  <si>
    <t>day 227</t>
  </si>
  <si>
    <t>day 228</t>
  </si>
  <si>
    <t>day 229</t>
  </si>
  <si>
    <t>day 230</t>
  </si>
  <si>
    <t>day 231</t>
  </si>
  <si>
    <t>day 232</t>
  </si>
  <si>
    <t>day 233</t>
  </si>
  <si>
    <t>day 234</t>
  </si>
  <si>
    <t>day 235</t>
  </si>
  <si>
    <t>day 236</t>
  </si>
  <si>
    <t>day 237</t>
  </si>
  <si>
    <t>day 238</t>
  </si>
  <si>
    <t>day 239</t>
  </si>
  <si>
    <t>day 240</t>
  </si>
  <si>
    <t>day 241</t>
  </si>
  <si>
    <t>day 242</t>
  </si>
  <si>
    <t>day 243</t>
  </si>
  <si>
    <t>day 244</t>
  </si>
  <si>
    <t>day 245</t>
  </si>
  <si>
    <t>day 246</t>
  </si>
  <si>
    <t>day 247</t>
  </si>
  <si>
    <t>day 248</t>
  </si>
  <si>
    <t>day 249</t>
  </si>
  <si>
    <t>LOSSES</t>
  </si>
  <si>
    <t>VarR 99</t>
  </si>
  <si>
    <t>VaR 95</t>
  </si>
  <si>
    <t>ES 95</t>
  </si>
  <si>
    <t>ES 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</si>
</sst>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0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9A45EAAD-B54A-E340-BDCB-62D869ADD93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9</xdr:row>
      <xdr:rowOff>25400</xdr:rowOff>
    </xdr:from>
    <xdr:to>
      <xdr:col>14</xdr:col>
      <xdr:colOff>482600</xdr:colOff>
      <xdr:row>33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ED0AA83-2B1C-8941-81D4-7EBF55E215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6400" y="1854200"/>
              <a:ext cx="7048500" cy="487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2EC6-E3B2-AE4A-953E-10DB3CFD38A5}">
  <dimension ref="A1:D270"/>
  <sheetViews>
    <sheetView zoomScale="150" zoomScaleNormal="150" workbookViewId="0">
      <selection activeCell="B2" sqref="B2"/>
    </sheetView>
  </sheetViews>
  <sheetFormatPr baseColWidth="10" defaultRowHeight="16" x14ac:dyDescent="0.2"/>
  <cols>
    <col min="1" max="4" width="18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>+IF(ROW()&lt;251,"day "&amp;ROW()-1,"")</f>
        <v>day 1</v>
      </c>
      <c r="B2">
        <f ca="1">+_xlfn.NORM.INV(RAND(),0.004,0.01)</f>
        <v>1.3976336414308487E-2</v>
      </c>
      <c r="C2">
        <f ca="1">1+0.5*ABS(_xlfn.NORM.INV(RAND(),0,0.8))</f>
        <v>1.4954578075639411</v>
      </c>
      <c r="D2">
        <f ca="1">+C2*B2</f>
        <v>2.0901021411917846E-2</v>
      </c>
    </row>
    <row r="3" spans="1:4" x14ac:dyDescent="0.2">
      <c r="A3" t="str">
        <f t="shared" ref="A3:A66" si="0">+IF(ROW()&lt;251,"day "&amp;ROW()-1,"")</f>
        <v>day 2</v>
      </c>
      <c r="B3">
        <f t="shared" ref="B3:B66" ca="1" si="1">+_xlfn.NORM.INV(RAND(),0.004,0.01)</f>
        <v>-5.8573934567206307E-3</v>
      </c>
      <c r="C3">
        <f t="shared" ref="C3:C66" ca="1" si="2">1+0.5*ABS(_xlfn.NORM.INV(RAND(),0,0.8))</f>
        <v>1.2879681308099573</v>
      </c>
      <c r="D3">
        <f t="shared" ref="D3:D66" ca="1" si="3">+C3*B3</f>
        <v>-7.5441361018709456E-3</v>
      </c>
    </row>
    <row r="4" spans="1:4" x14ac:dyDescent="0.2">
      <c r="A4" t="str">
        <f t="shared" si="0"/>
        <v>day 3</v>
      </c>
      <c r="B4">
        <f t="shared" ca="1" si="1"/>
        <v>2.1959885897352639E-2</v>
      </c>
      <c r="C4">
        <f t="shared" ca="1" si="2"/>
        <v>1.1045009757658397</v>
      </c>
      <c r="D4">
        <f t="shared" ca="1" si="3"/>
        <v>2.4254715401332491E-2</v>
      </c>
    </row>
    <row r="5" spans="1:4" x14ac:dyDescent="0.2">
      <c r="A5" t="str">
        <f t="shared" si="0"/>
        <v>day 4</v>
      </c>
      <c r="B5">
        <f t="shared" ca="1" si="1"/>
        <v>-2.8969435290131101E-3</v>
      </c>
      <c r="C5">
        <f t="shared" ca="1" si="2"/>
        <v>1.3160097838591105</v>
      </c>
      <c r="D5">
        <f t="shared" ca="1" si="3"/>
        <v>-3.812406027468592E-3</v>
      </c>
    </row>
    <row r="6" spans="1:4" x14ac:dyDescent="0.2">
      <c r="A6" t="str">
        <f t="shared" si="0"/>
        <v>day 5</v>
      </c>
      <c r="B6">
        <f t="shared" ca="1" si="1"/>
        <v>1.8793790794880347E-2</v>
      </c>
      <c r="C6">
        <f t="shared" ca="1" si="2"/>
        <v>1.0924057161138205</v>
      </c>
      <c r="D6">
        <f t="shared" ca="1" si="3"/>
        <v>2.0530444491774595E-2</v>
      </c>
    </row>
    <row r="7" spans="1:4" x14ac:dyDescent="0.2">
      <c r="A7" t="str">
        <f t="shared" si="0"/>
        <v>day 6</v>
      </c>
      <c r="B7">
        <f t="shared" ca="1" si="1"/>
        <v>-3.3708695710357554E-3</v>
      </c>
      <c r="C7">
        <f t="shared" ca="1" si="2"/>
        <v>1.006051220363432</v>
      </c>
      <c r="D7">
        <f t="shared" ca="1" si="3"/>
        <v>-3.3912674456264801E-3</v>
      </c>
    </row>
    <row r="8" spans="1:4" x14ac:dyDescent="0.2">
      <c r="A8" t="str">
        <f t="shared" si="0"/>
        <v>day 7</v>
      </c>
      <c r="B8">
        <f t="shared" ca="1" si="1"/>
        <v>1.4489535991254524E-2</v>
      </c>
      <c r="C8">
        <f t="shared" ca="1" si="2"/>
        <v>1.2079598181705131</v>
      </c>
      <c r="D8">
        <f t="shared" ca="1" si="3"/>
        <v>1.7502777261370922E-2</v>
      </c>
    </row>
    <row r="9" spans="1:4" x14ac:dyDescent="0.2">
      <c r="A9" t="str">
        <f t="shared" si="0"/>
        <v>day 8</v>
      </c>
      <c r="B9">
        <f t="shared" ca="1" si="1"/>
        <v>-6.385775900843417E-3</v>
      </c>
      <c r="C9">
        <f t="shared" ca="1" si="2"/>
        <v>1.6464581265361402</v>
      </c>
      <c r="D9">
        <f t="shared" ca="1" si="3"/>
        <v>-1.0513912626182285E-2</v>
      </c>
    </row>
    <row r="10" spans="1:4" x14ac:dyDescent="0.2">
      <c r="A10" t="str">
        <f t="shared" si="0"/>
        <v>day 9</v>
      </c>
      <c r="B10">
        <f t="shared" ca="1" si="1"/>
        <v>2.3828370810007878E-2</v>
      </c>
      <c r="C10">
        <f t="shared" ca="1" si="2"/>
        <v>1.8063331677715939</v>
      </c>
      <c r="D10">
        <f t="shared" ca="1" si="3"/>
        <v>4.3041976528077709E-2</v>
      </c>
    </row>
    <row r="11" spans="1:4" x14ac:dyDescent="0.2">
      <c r="A11" t="str">
        <f t="shared" si="0"/>
        <v>day 10</v>
      </c>
      <c r="B11">
        <f t="shared" ca="1" si="1"/>
        <v>1.6978445628050919E-2</v>
      </c>
      <c r="C11">
        <f t="shared" ca="1" si="2"/>
        <v>1.6374988567059154</v>
      </c>
      <c r="D11">
        <f t="shared" ca="1" si="3"/>
        <v>2.7802185304576926E-2</v>
      </c>
    </row>
    <row r="12" spans="1:4" x14ac:dyDescent="0.2">
      <c r="A12" t="str">
        <f t="shared" si="0"/>
        <v>day 11</v>
      </c>
      <c r="B12">
        <f t="shared" ca="1" si="1"/>
        <v>2.1716773264059158E-2</v>
      </c>
      <c r="C12">
        <f t="shared" ca="1" si="2"/>
        <v>1.102261308516246</v>
      </c>
      <c r="D12">
        <f t="shared" ca="1" si="3"/>
        <v>2.3937558914792476E-2</v>
      </c>
    </row>
    <row r="13" spans="1:4" x14ac:dyDescent="0.2">
      <c r="A13" t="str">
        <f t="shared" si="0"/>
        <v>day 12</v>
      </c>
      <c r="B13">
        <f t="shared" ca="1" si="1"/>
        <v>-5.4003560271377923E-3</v>
      </c>
      <c r="C13">
        <f t="shared" ca="1" si="2"/>
        <v>1.093324018365293</v>
      </c>
      <c r="D13">
        <f t="shared" ca="1" si="3"/>
        <v>-5.9043389521935205E-3</v>
      </c>
    </row>
    <row r="14" spans="1:4" x14ac:dyDescent="0.2">
      <c r="A14" t="str">
        <f t="shared" si="0"/>
        <v>day 13</v>
      </c>
      <c r="B14">
        <f t="shared" ca="1" si="1"/>
        <v>5.977170608105235E-4</v>
      </c>
      <c r="C14">
        <f t="shared" ca="1" si="2"/>
        <v>1.3263180292290018</v>
      </c>
      <c r="D14">
        <f t="shared" ca="1" si="3"/>
        <v>7.9276291413076492E-4</v>
      </c>
    </row>
    <row r="15" spans="1:4" x14ac:dyDescent="0.2">
      <c r="A15" t="str">
        <f t="shared" si="0"/>
        <v>day 14</v>
      </c>
      <c r="B15">
        <f t="shared" ca="1" si="1"/>
        <v>1.3195417294195691E-2</v>
      </c>
      <c r="C15">
        <f t="shared" ca="1" si="2"/>
        <v>1.8129193375792587</v>
      </c>
      <c r="D15">
        <f t="shared" ca="1" si="3"/>
        <v>2.3922227180075147E-2</v>
      </c>
    </row>
    <row r="16" spans="1:4" x14ac:dyDescent="0.2">
      <c r="A16" t="str">
        <f t="shared" si="0"/>
        <v>day 15</v>
      </c>
      <c r="B16">
        <f t="shared" ca="1" si="1"/>
        <v>-5.3944981007970454E-3</v>
      </c>
      <c r="C16">
        <f t="shared" ca="1" si="2"/>
        <v>1.4824012894814285</v>
      </c>
      <c r="D16">
        <f t="shared" ca="1" si="3"/>
        <v>-7.9968109407266563E-3</v>
      </c>
    </row>
    <row r="17" spans="1:4" x14ac:dyDescent="0.2">
      <c r="A17" t="str">
        <f t="shared" si="0"/>
        <v>day 16</v>
      </c>
      <c r="B17">
        <f t="shared" ca="1" si="1"/>
        <v>2.9510321944131806E-3</v>
      </c>
      <c r="C17">
        <f t="shared" ca="1" si="2"/>
        <v>1.0566266661004304</v>
      </c>
      <c r="D17">
        <f t="shared" ca="1" si="3"/>
        <v>3.1181393091378362E-3</v>
      </c>
    </row>
    <row r="18" spans="1:4" x14ac:dyDescent="0.2">
      <c r="A18" t="str">
        <f t="shared" si="0"/>
        <v>day 17</v>
      </c>
      <c r="B18">
        <f t="shared" ca="1" si="1"/>
        <v>-3.9249822088641105E-3</v>
      </c>
      <c r="C18">
        <f t="shared" ca="1" si="2"/>
        <v>1.0773238077930631</v>
      </c>
      <c r="D18">
        <f ca="1">+C18*B18-0.05</f>
        <v>-5.4228476778773516E-2</v>
      </c>
    </row>
    <row r="19" spans="1:4" x14ac:dyDescent="0.2">
      <c r="A19" t="str">
        <f t="shared" si="0"/>
        <v>day 18</v>
      </c>
      <c r="B19">
        <f t="shared" ca="1" si="1"/>
        <v>6.2025009387320371E-3</v>
      </c>
      <c r="C19">
        <f t="shared" ca="1" si="2"/>
        <v>1.0872382118042787</v>
      </c>
      <c r="D19">
        <f t="shared" ca="1" si="3"/>
        <v>6.7435960293413802E-3</v>
      </c>
    </row>
    <row r="20" spans="1:4" x14ac:dyDescent="0.2">
      <c r="A20" t="str">
        <f t="shared" si="0"/>
        <v>day 19</v>
      </c>
      <c r="B20">
        <f t="shared" ca="1" si="1"/>
        <v>1.2216377298179872E-2</v>
      </c>
      <c r="C20">
        <f t="shared" ca="1" si="2"/>
        <v>1.2286409010441743</v>
      </c>
      <c r="D20">
        <f t="shared" ca="1" si="3"/>
        <v>1.5009540811131313E-2</v>
      </c>
    </row>
    <row r="21" spans="1:4" x14ac:dyDescent="0.2">
      <c r="A21" t="str">
        <f t="shared" si="0"/>
        <v>day 20</v>
      </c>
      <c r="B21">
        <f t="shared" ca="1" si="1"/>
        <v>3.1988663814229976E-2</v>
      </c>
      <c r="C21">
        <f t="shared" ca="1" si="2"/>
        <v>1.258945347603162</v>
      </c>
      <c r="D21">
        <f t="shared" ca="1" si="3"/>
        <v>4.0271979484966448E-2</v>
      </c>
    </row>
    <row r="22" spans="1:4" x14ac:dyDescent="0.2">
      <c r="A22" t="str">
        <f t="shared" si="0"/>
        <v>day 21</v>
      </c>
      <c r="B22">
        <f t="shared" ca="1" si="1"/>
        <v>2.3716716260144908E-2</v>
      </c>
      <c r="C22">
        <f t="shared" ca="1" si="2"/>
        <v>1.4216496817788626</v>
      </c>
      <c r="D22">
        <f t="shared" ca="1" si="3"/>
        <v>3.3716862124074584E-2</v>
      </c>
    </row>
    <row r="23" spans="1:4" x14ac:dyDescent="0.2">
      <c r="A23" t="str">
        <f t="shared" si="0"/>
        <v>day 22</v>
      </c>
      <c r="B23">
        <f t="shared" ca="1" si="1"/>
        <v>-7.1343440941984606E-3</v>
      </c>
      <c r="C23">
        <f t="shared" ca="1" si="2"/>
        <v>1.1775269410161073</v>
      </c>
      <c r="D23">
        <f t="shared" ca="1" si="3"/>
        <v>-8.400882377397844E-3</v>
      </c>
    </row>
    <row r="24" spans="1:4" x14ac:dyDescent="0.2">
      <c r="A24" t="str">
        <f t="shared" si="0"/>
        <v>day 23</v>
      </c>
      <c r="B24">
        <f t="shared" ca="1" si="1"/>
        <v>-7.9323202626594511E-3</v>
      </c>
      <c r="C24">
        <f t="shared" ca="1" si="2"/>
        <v>2.0558252081057571</v>
      </c>
      <c r="D24">
        <f t="shared" ca="1" si="3"/>
        <v>-1.6307463954743379E-2</v>
      </c>
    </row>
    <row r="25" spans="1:4" x14ac:dyDescent="0.2">
      <c r="A25" t="str">
        <f t="shared" si="0"/>
        <v>day 24</v>
      </c>
      <c r="B25">
        <f t="shared" ca="1" si="1"/>
        <v>-4.9690775409689247E-3</v>
      </c>
      <c r="C25">
        <f t="shared" ca="1" si="2"/>
        <v>1.0804566128314725</v>
      </c>
      <c r="D25">
        <f t="shared" ca="1" si="3"/>
        <v>-5.3688726888122271E-3</v>
      </c>
    </row>
    <row r="26" spans="1:4" x14ac:dyDescent="0.2">
      <c r="A26" t="str">
        <f t="shared" si="0"/>
        <v>day 25</v>
      </c>
      <c r="B26">
        <f t="shared" ca="1" si="1"/>
        <v>8.1844815816791844E-3</v>
      </c>
      <c r="C26">
        <f t="shared" ca="1" si="2"/>
        <v>1.0568662718944697</v>
      </c>
      <c r="D26">
        <f t="shared" ca="1" si="3"/>
        <v>8.6499025366182317E-3</v>
      </c>
    </row>
    <row r="27" spans="1:4" x14ac:dyDescent="0.2">
      <c r="A27" t="str">
        <f t="shared" si="0"/>
        <v>day 26</v>
      </c>
      <c r="B27">
        <f t="shared" ca="1" si="1"/>
        <v>1.1256676191935207E-2</v>
      </c>
      <c r="C27">
        <f t="shared" ca="1" si="2"/>
        <v>1.3055260757713563</v>
      </c>
      <c r="D27">
        <f t="shared" ca="1" si="3"/>
        <v>1.4695884295086026E-2</v>
      </c>
    </row>
    <row r="28" spans="1:4" x14ac:dyDescent="0.2">
      <c r="A28" t="str">
        <f t="shared" si="0"/>
        <v>day 27</v>
      </c>
      <c r="B28">
        <f t="shared" ca="1" si="1"/>
        <v>9.6271059031088867E-3</v>
      </c>
      <c r="C28">
        <f t="shared" ca="1" si="2"/>
        <v>1.1977426450948636</v>
      </c>
      <c r="D28">
        <f t="shared" ca="1" si="3"/>
        <v>1.1530795288998013E-2</v>
      </c>
    </row>
    <row r="29" spans="1:4" x14ac:dyDescent="0.2">
      <c r="A29" t="str">
        <f t="shared" si="0"/>
        <v>day 28</v>
      </c>
      <c r="B29">
        <f t="shared" ca="1" si="1"/>
        <v>-8.8438199472500867E-3</v>
      </c>
      <c r="C29">
        <f t="shared" ca="1" si="2"/>
        <v>1.361356957507379</v>
      </c>
      <c r="D29">
        <f t="shared" ca="1" si="3"/>
        <v>-1.2039595816131447E-2</v>
      </c>
    </row>
    <row r="30" spans="1:4" x14ac:dyDescent="0.2">
      <c r="A30" t="str">
        <f t="shared" si="0"/>
        <v>day 29</v>
      </c>
      <c r="B30">
        <f t="shared" ca="1" si="1"/>
        <v>-1.1577276168954823E-2</v>
      </c>
      <c r="C30">
        <f t="shared" ca="1" si="2"/>
        <v>1.019534301981587</v>
      </c>
      <c r="D30">
        <f t="shared" ca="1" si="3"/>
        <v>-1.1803430177763417E-2</v>
      </c>
    </row>
    <row r="31" spans="1:4" x14ac:dyDescent="0.2">
      <c r="A31" t="str">
        <f t="shared" si="0"/>
        <v>day 30</v>
      </c>
      <c r="B31">
        <f t="shared" ca="1" si="1"/>
        <v>8.3578459477800376E-3</v>
      </c>
      <c r="C31">
        <f t="shared" ca="1" si="2"/>
        <v>1.0849805340625636</v>
      </c>
      <c r="D31">
        <f t="shared" ca="1" si="3"/>
        <v>9.0681001600350173E-3</v>
      </c>
    </row>
    <row r="32" spans="1:4" x14ac:dyDescent="0.2">
      <c r="A32" t="str">
        <f t="shared" si="0"/>
        <v>day 31</v>
      </c>
      <c r="B32">
        <f t="shared" ca="1" si="1"/>
        <v>-1.0112518353966239E-2</v>
      </c>
      <c r="C32">
        <f t="shared" ca="1" si="2"/>
        <v>1.3453887026845677</v>
      </c>
      <c r="D32">
        <f t="shared" ca="1" si="3"/>
        <v>-1.3605267949116519E-2</v>
      </c>
    </row>
    <row r="33" spans="1:4" x14ac:dyDescent="0.2">
      <c r="A33" t="str">
        <f t="shared" si="0"/>
        <v>day 32</v>
      </c>
      <c r="B33">
        <f t="shared" ca="1" si="1"/>
        <v>7.8422493334822981E-3</v>
      </c>
      <c r="C33">
        <f t="shared" ca="1" si="2"/>
        <v>1.5605617953335715</v>
      </c>
      <c r="D33">
        <f t="shared" ca="1" si="3"/>
        <v>1.2238314699312639E-2</v>
      </c>
    </row>
    <row r="34" spans="1:4" x14ac:dyDescent="0.2">
      <c r="A34" t="str">
        <f t="shared" si="0"/>
        <v>day 33</v>
      </c>
      <c r="B34">
        <f t="shared" ca="1" si="1"/>
        <v>1.2986722851102969E-2</v>
      </c>
      <c r="C34">
        <f t="shared" ca="1" si="2"/>
        <v>1.0640402524119505</v>
      </c>
      <c r="D34">
        <f t="shared" ca="1" si="3"/>
        <v>1.3818395860491649E-2</v>
      </c>
    </row>
    <row r="35" spans="1:4" x14ac:dyDescent="0.2">
      <c r="A35" t="str">
        <f t="shared" si="0"/>
        <v>day 34</v>
      </c>
      <c r="B35">
        <f t="shared" ca="1" si="1"/>
        <v>4.744640955603445E-3</v>
      </c>
      <c r="C35">
        <f t="shared" ca="1" si="2"/>
        <v>1.2803302953455789</v>
      </c>
      <c r="D35">
        <f t="shared" ca="1" si="3"/>
        <v>6.0747075559964879E-3</v>
      </c>
    </row>
    <row r="36" spans="1:4" x14ac:dyDescent="0.2">
      <c r="A36" t="str">
        <f t="shared" si="0"/>
        <v>day 35</v>
      </c>
      <c r="B36">
        <f t="shared" ca="1" si="1"/>
        <v>-1.1757375481383496E-2</v>
      </c>
      <c r="C36">
        <f t="shared" ca="1" si="2"/>
        <v>1.0053222811651119</v>
      </c>
      <c r="D36">
        <f t="shared" ca="1" si="3"/>
        <v>-1.1819951539459212E-2</v>
      </c>
    </row>
    <row r="37" spans="1:4" x14ac:dyDescent="0.2">
      <c r="A37" t="str">
        <f t="shared" si="0"/>
        <v>day 36</v>
      </c>
      <c r="B37">
        <f t="shared" ca="1" si="1"/>
        <v>8.1040887192648983E-3</v>
      </c>
      <c r="C37">
        <f t="shared" ca="1" si="2"/>
        <v>1.1057886765191698</v>
      </c>
      <c r="D37">
        <f t="shared" ca="1" si="3"/>
        <v>8.9614095392698649E-3</v>
      </c>
    </row>
    <row r="38" spans="1:4" x14ac:dyDescent="0.2">
      <c r="A38" t="str">
        <f t="shared" si="0"/>
        <v>day 37</v>
      </c>
      <c r="B38">
        <f t="shared" ca="1" si="1"/>
        <v>7.4066972052842482E-3</v>
      </c>
      <c r="C38">
        <f t="shared" ca="1" si="2"/>
        <v>1.4837356093864653</v>
      </c>
      <c r="D38">
        <f ca="1">+C38*B38-0.08</f>
        <v>-6.9010419608576554E-2</v>
      </c>
    </row>
    <row r="39" spans="1:4" x14ac:dyDescent="0.2">
      <c r="A39" t="str">
        <f t="shared" si="0"/>
        <v>day 38</v>
      </c>
      <c r="B39">
        <f t="shared" ca="1" si="1"/>
        <v>2.5479706221011606E-3</v>
      </c>
      <c r="C39">
        <f t="shared" ca="1" si="2"/>
        <v>1.1593842191923609</v>
      </c>
      <c r="D39">
        <f t="shared" ca="1" si="3"/>
        <v>2.954076930229828E-3</v>
      </c>
    </row>
    <row r="40" spans="1:4" x14ac:dyDescent="0.2">
      <c r="A40" t="str">
        <f t="shared" si="0"/>
        <v>day 39</v>
      </c>
      <c r="B40">
        <f t="shared" ca="1" si="1"/>
        <v>1.2324706174052564E-2</v>
      </c>
      <c r="C40">
        <f t="shared" ca="1" si="2"/>
        <v>1.2014948873016624</v>
      </c>
      <c r="D40">
        <f t="shared" ca="1" si="3"/>
        <v>1.4808071455619388E-2</v>
      </c>
    </row>
    <row r="41" spans="1:4" x14ac:dyDescent="0.2">
      <c r="A41" t="str">
        <f t="shared" si="0"/>
        <v>day 40</v>
      </c>
      <c r="B41">
        <f t="shared" ca="1" si="1"/>
        <v>8.7718718065032779E-3</v>
      </c>
      <c r="C41">
        <f t="shared" ca="1" si="2"/>
        <v>1.3534717910885754</v>
      </c>
      <c r="D41">
        <f t="shared" ca="1" si="3"/>
        <v>1.1872481045147369E-2</v>
      </c>
    </row>
    <row r="42" spans="1:4" x14ac:dyDescent="0.2">
      <c r="A42" t="str">
        <f t="shared" si="0"/>
        <v>day 41</v>
      </c>
      <c r="B42">
        <f t="shared" ca="1" si="1"/>
        <v>6.2052571720842935E-3</v>
      </c>
      <c r="C42">
        <f t="shared" ca="1" si="2"/>
        <v>1.029807452905497</v>
      </c>
      <c r="D42">
        <f t="shared" ca="1" si="3"/>
        <v>6.3902200830076939E-3</v>
      </c>
    </row>
    <row r="43" spans="1:4" x14ac:dyDescent="0.2">
      <c r="A43" t="str">
        <f t="shared" si="0"/>
        <v>day 42</v>
      </c>
      <c r="B43">
        <f t="shared" ca="1" si="1"/>
        <v>9.525895578558893E-4</v>
      </c>
      <c r="C43">
        <f t="shared" ca="1" si="2"/>
        <v>1.5278325117920479</v>
      </c>
      <c r="D43">
        <f t="shared" ca="1" si="3"/>
        <v>1.4553972968858397E-3</v>
      </c>
    </row>
    <row r="44" spans="1:4" x14ac:dyDescent="0.2">
      <c r="A44" t="str">
        <f t="shared" si="0"/>
        <v>day 43</v>
      </c>
      <c r="B44">
        <f t="shared" ca="1" si="1"/>
        <v>-6.9643172889203957E-4</v>
      </c>
      <c r="C44">
        <f t="shared" ca="1" si="2"/>
        <v>1.2955392517212176</v>
      </c>
      <c r="D44">
        <f t="shared" ca="1" si="3"/>
        <v>-9.0225464092370681E-4</v>
      </c>
    </row>
    <row r="45" spans="1:4" x14ac:dyDescent="0.2">
      <c r="A45" t="str">
        <f t="shared" si="0"/>
        <v>day 44</v>
      </c>
      <c r="B45">
        <f t="shared" ca="1" si="1"/>
        <v>-3.5370835183043039E-3</v>
      </c>
      <c r="C45">
        <f t="shared" ca="1" si="2"/>
        <v>1.170437329132112</v>
      </c>
      <c r="D45">
        <f t="shared" ca="1" si="3"/>
        <v>-4.1399345860813029E-3</v>
      </c>
    </row>
    <row r="46" spans="1:4" x14ac:dyDescent="0.2">
      <c r="A46" t="str">
        <f t="shared" si="0"/>
        <v>day 45</v>
      </c>
      <c r="B46">
        <f t="shared" ca="1" si="1"/>
        <v>5.6959600552522636E-3</v>
      </c>
      <c r="C46">
        <f t="shared" ca="1" si="2"/>
        <v>1.4176678128778075</v>
      </c>
      <c r="D46">
        <f t="shared" ca="1" si="3"/>
        <v>8.0749792337688319E-3</v>
      </c>
    </row>
    <row r="47" spans="1:4" x14ac:dyDescent="0.2">
      <c r="A47" t="str">
        <f t="shared" si="0"/>
        <v>day 46</v>
      </c>
      <c r="B47">
        <f t="shared" ca="1" si="1"/>
        <v>-4.0465013420707147E-3</v>
      </c>
      <c r="C47">
        <f t="shared" ca="1" si="2"/>
        <v>1.8440730466680908</v>
      </c>
      <c r="D47">
        <f t="shared" ca="1" si="3"/>
        <v>-7.4620440582188613E-3</v>
      </c>
    </row>
    <row r="48" spans="1:4" x14ac:dyDescent="0.2">
      <c r="A48" t="str">
        <f t="shared" si="0"/>
        <v>day 47</v>
      </c>
      <c r="B48">
        <f t="shared" ca="1" si="1"/>
        <v>2.8835042699617133E-2</v>
      </c>
      <c r="C48">
        <f t="shared" ca="1" si="2"/>
        <v>1.4129198785192765</v>
      </c>
      <c r="D48">
        <f t="shared" ca="1" si="3"/>
        <v>4.0741605028241187E-2</v>
      </c>
    </row>
    <row r="49" spans="1:4" x14ac:dyDescent="0.2">
      <c r="A49" t="str">
        <f t="shared" si="0"/>
        <v>day 48</v>
      </c>
      <c r="B49">
        <f t="shared" ca="1" si="1"/>
        <v>1.2323973615750774E-2</v>
      </c>
      <c r="C49">
        <f t="shared" ca="1" si="2"/>
        <v>1.6434623722134409</v>
      </c>
      <c r="D49">
        <f t="shared" ca="1" si="3"/>
        <v>2.0253986913637622E-2</v>
      </c>
    </row>
    <row r="50" spans="1:4" x14ac:dyDescent="0.2">
      <c r="A50" t="str">
        <f t="shared" si="0"/>
        <v>day 49</v>
      </c>
      <c r="B50">
        <f t="shared" ca="1" si="1"/>
        <v>5.0788632035518025E-3</v>
      </c>
      <c r="C50">
        <f t="shared" ca="1" si="2"/>
        <v>1.3509241213371377</v>
      </c>
      <c r="D50">
        <f t="shared" ca="1" si="3"/>
        <v>6.8611588106497392E-3</v>
      </c>
    </row>
    <row r="51" spans="1:4" x14ac:dyDescent="0.2">
      <c r="A51" t="str">
        <f t="shared" si="0"/>
        <v>day 50</v>
      </c>
      <c r="B51">
        <f t="shared" ca="1" si="1"/>
        <v>2.1014307250821197E-2</v>
      </c>
      <c r="C51">
        <f t="shared" ca="1" si="2"/>
        <v>1.5848539331921989</v>
      </c>
      <c r="D51">
        <f t="shared" ca="1" si="3"/>
        <v>3.330460749977332E-2</v>
      </c>
    </row>
    <row r="52" spans="1:4" x14ac:dyDescent="0.2">
      <c r="A52" t="str">
        <f t="shared" si="0"/>
        <v>day 51</v>
      </c>
      <c r="B52">
        <f t="shared" ca="1" si="1"/>
        <v>8.1940645753546502E-3</v>
      </c>
      <c r="C52">
        <f t="shared" ca="1" si="2"/>
        <v>1.6704220295105239</v>
      </c>
      <c r="D52">
        <f t="shared" ca="1" si="3"/>
        <v>1.3687545977904204E-2</v>
      </c>
    </row>
    <row r="53" spans="1:4" x14ac:dyDescent="0.2">
      <c r="A53" t="str">
        <f t="shared" si="0"/>
        <v>day 52</v>
      </c>
      <c r="B53">
        <f t="shared" ca="1" si="1"/>
        <v>-6.573473404589485E-3</v>
      </c>
      <c r="C53">
        <f t="shared" ca="1" si="2"/>
        <v>1.0499646166972234</v>
      </c>
      <c r="D53">
        <f ca="1">+C53*B53-0.12</f>
        <v>-0.12690191448361918</v>
      </c>
    </row>
    <row r="54" spans="1:4" x14ac:dyDescent="0.2">
      <c r="A54" t="str">
        <f t="shared" si="0"/>
        <v>day 53</v>
      </c>
      <c r="B54">
        <f t="shared" ca="1" si="1"/>
        <v>-2.1707159892184965E-2</v>
      </c>
      <c r="C54">
        <f t="shared" ca="1" si="2"/>
        <v>1.2326969238499534</v>
      </c>
      <c r="D54">
        <f t="shared" ca="1" si="3"/>
        <v>-2.6758349224615494E-2</v>
      </c>
    </row>
    <row r="55" spans="1:4" x14ac:dyDescent="0.2">
      <c r="A55" t="str">
        <f t="shared" si="0"/>
        <v>day 54</v>
      </c>
      <c r="B55">
        <f t="shared" ca="1" si="1"/>
        <v>-5.9413413810533045E-3</v>
      </c>
      <c r="C55">
        <f t="shared" ca="1" si="2"/>
        <v>1.3173176152239265</v>
      </c>
      <c r="D55">
        <f t="shared" ca="1" si="3"/>
        <v>-7.8266336593203686E-3</v>
      </c>
    </row>
    <row r="56" spans="1:4" x14ac:dyDescent="0.2">
      <c r="A56" t="str">
        <f t="shared" si="0"/>
        <v>day 55</v>
      </c>
      <c r="B56">
        <f t="shared" ca="1" si="1"/>
        <v>4.6245024853733057E-3</v>
      </c>
      <c r="C56">
        <f t="shared" ca="1" si="2"/>
        <v>1.5060900740688523</v>
      </c>
      <c r="D56">
        <f t="shared" ca="1" si="3"/>
        <v>6.9649172907274735E-3</v>
      </c>
    </row>
    <row r="57" spans="1:4" x14ac:dyDescent="0.2">
      <c r="A57" t="str">
        <f t="shared" si="0"/>
        <v>day 56</v>
      </c>
      <c r="B57">
        <f t="shared" ca="1" si="1"/>
        <v>8.0515466070935696E-3</v>
      </c>
      <c r="C57">
        <f t="shared" ca="1" si="2"/>
        <v>1.8541779069891331</v>
      </c>
      <c r="D57">
        <f t="shared" ca="1" si="3"/>
        <v>1.4928999835966211E-2</v>
      </c>
    </row>
    <row r="58" spans="1:4" x14ac:dyDescent="0.2">
      <c r="A58" t="str">
        <f t="shared" si="0"/>
        <v>day 57</v>
      </c>
      <c r="B58">
        <f t="shared" ca="1" si="1"/>
        <v>-5.8764044872838123E-3</v>
      </c>
      <c r="C58">
        <f t="shared" ca="1" si="2"/>
        <v>1.6267217577656008</v>
      </c>
      <c r="D58">
        <f t="shared" ca="1" si="3"/>
        <v>-9.559275036895987E-3</v>
      </c>
    </row>
    <row r="59" spans="1:4" x14ac:dyDescent="0.2">
      <c r="A59" t="str">
        <f t="shared" si="0"/>
        <v>day 58</v>
      </c>
      <c r="B59">
        <f t="shared" ca="1" si="1"/>
        <v>-9.6922356055815315E-3</v>
      </c>
      <c r="C59">
        <f t="shared" ca="1" si="2"/>
        <v>1.6245424551585559</v>
      </c>
      <c r="D59">
        <f t="shared" ca="1" si="3"/>
        <v>-1.5745448226666594E-2</v>
      </c>
    </row>
    <row r="60" spans="1:4" x14ac:dyDescent="0.2">
      <c r="A60" t="str">
        <f t="shared" si="0"/>
        <v>day 59</v>
      </c>
      <c r="B60">
        <f t="shared" ca="1" si="1"/>
        <v>9.9324612782208978E-3</v>
      </c>
      <c r="C60">
        <f t="shared" ca="1" si="2"/>
        <v>1.8378864445202581</v>
      </c>
      <c r="D60">
        <f t="shared" ca="1" si="3"/>
        <v>1.8254735943964543E-2</v>
      </c>
    </row>
    <row r="61" spans="1:4" x14ac:dyDescent="0.2">
      <c r="A61" t="str">
        <f t="shared" si="0"/>
        <v>day 60</v>
      </c>
      <c r="B61">
        <f t="shared" ca="1" si="1"/>
        <v>3.2909909687204881E-4</v>
      </c>
      <c r="C61">
        <f t="shared" ca="1" si="2"/>
        <v>1.0228431564402558</v>
      </c>
      <c r="D61">
        <f t="shared" ca="1" si="3"/>
        <v>3.3661675902624391E-4</v>
      </c>
    </row>
    <row r="62" spans="1:4" x14ac:dyDescent="0.2">
      <c r="A62" t="str">
        <f t="shared" si="0"/>
        <v>day 61</v>
      </c>
      <c r="B62">
        <f t="shared" ca="1" si="1"/>
        <v>6.4744159227881634E-3</v>
      </c>
      <c r="C62">
        <f t="shared" ca="1" si="2"/>
        <v>1.3693321577593742</v>
      </c>
      <c r="D62">
        <f t="shared" ca="1" si="3"/>
        <v>8.8656259257831656E-3</v>
      </c>
    </row>
    <row r="63" spans="1:4" x14ac:dyDescent="0.2">
      <c r="A63" t="str">
        <f t="shared" si="0"/>
        <v>day 62</v>
      </c>
      <c r="B63">
        <f t="shared" ca="1" si="1"/>
        <v>-2.2116293607128291E-2</v>
      </c>
      <c r="C63">
        <f t="shared" ca="1" si="2"/>
        <v>1.0639038300636581</v>
      </c>
      <c r="D63">
        <f t="shared" ca="1" si="3"/>
        <v>-2.3529609475436183E-2</v>
      </c>
    </row>
    <row r="64" spans="1:4" x14ac:dyDescent="0.2">
      <c r="A64" t="str">
        <f t="shared" si="0"/>
        <v>day 63</v>
      </c>
      <c r="B64">
        <f t="shared" ca="1" si="1"/>
        <v>4.7022051647635232E-3</v>
      </c>
      <c r="C64">
        <f t="shared" ca="1" si="2"/>
        <v>1.5410585764230085</v>
      </c>
      <c r="D64">
        <f t="shared" ca="1" si="3"/>
        <v>7.2463735972593934E-3</v>
      </c>
    </row>
    <row r="65" spans="1:4" x14ac:dyDescent="0.2">
      <c r="A65" t="str">
        <f t="shared" si="0"/>
        <v>day 64</v>
      </c>
      <c r="B65">
        <f t="shared" ca="1" si="1"/>
        <v>9.1388699740478606E-3</v>
      </c>
      <c r="C65">
        <f t="shared" ca="1" si="2"/>
        <v>1.1416387960991685</v>
      </c>
      <c r="D65">
        <f t="shared" ca="1" si="3"/>
        <v>1.043328851487884E-2</v>
      </c>
    </row>
    <row r="66" spans="1:4" x14ac:dyDescent="0.2">
      <c r="A66" t="str">
        <f t="shared" si="0"/>
        <v>day 65</v>
      </c>
      <c r="B66">
        <f t="shared" ca="1" si="1"/>
        <v>-9.2266617903435152E-4</v>
      </c>
      <c r="C66">
        <f t="shared" ca="1" si="2"/>
        <v>1.0443401180176808</v>
      </c>
      <c r="D66">
        <f t="shared" ca="1" si="3"/>
        <v>-9.6357730630365721E-4</v>
      </c>
    </row>
    <row r="67" spans="1:4" x14ac:dyDescent="0.2">
      <c r="A67" t="str">
        <f t="shared" ref="A67:A130" si="4">+IF(ROW()&lt;251,"day "&amp;ROW()-1,"")</f>
        <v>day 66</v>
      </c>
      <c r="B67">
        <f t="shared" ref="B67:B130" ca="1" si="5">+_xlfn.NORM.INV(RAND(),0.004,0.01)</f>
        <v>3.9456839934319428E-3</v>
      </c>
      <c r="C67">
        <f t="shared" ref="C67:C130" ca="1" si="6">1+0.5*ABS(_xlfn.NORM.INV(RAND(),0,0.8))</f>
        <v>1.4602088776473909</v>
      </c>
      <c r="D67">
        <f t="shared" ref="D67:D130" ca="1" si="7">+C67*B67</f>
        <v>5.7615227956005323E-3</v>
      </c>
    </row>
    <row r="68" spans="1:4" x14ac:dyDescent="0.2">
      <c r="A68" t="str">
        <f t="shared" si="4"/>
        <v>day 67</v>
      </c>
      <c r="B68">
        <f t="shared" ca="1" si="5"/>
        <v>-1.4563678708003385E-2</v>
      </c>
      <c r="C68">
        <f t="shared" ca="1" si="6"/>
        <v>1.4464433674193906</v>
      </c>
      <c r="D68">
        <f t="shared" ca="1" si="7"/>
        <v>-2.1065536472418496E-2</v>
      </c>
    </row>
    <row r="69" spans="1:4" x14ac:dyDescent="0.2">
      <c r="A69" t="str">
        <f t="shared" si="4"/>
        <v>day 68</v>
      </c>
      <c r="B69">
        <f t="shared" ca="1" si="5"/>
        <v>4.3637355827234325E-3</v>
      </c>
      <c r="C69">
        <f t="shared" ca="1" si="6"/>
        <v>1.7259106244967186</v>
      </c>
      <c r="D69">
        <f t="shared" ca="1" si="7"/>
        <v>7.5314176047167518E-3</v>
      </c>
    </row>
    <row r="70" spans="1:4" x14ac:dyDescent="0.2">
      <c r="A70" t="str">
        <f t="shared" si="4"/>
        <v>day 69</v>
      </c>
      <c r="B70">
        <f t="shared" ca="1" si="5"/>
        <v>4.8317194429177293E-3</v>
      </c>
      <c r="C70">
        <f t="shared" ca="1" si="6"/>
        <v>1.3960262023502787</v>
      </c>
      <c r="D70">
        <f t="shared" ca="1" si="7"/>
        <v>6.7452069447184425E-3</v>
      </c>
    </row>
    <row r="71" spans="1:4" x14ac:dyDescent="0.2">
      <c r="A71" t="str">
        <f t="shared" si="4"/>
        <v>day 70</v>
      </c>
      <c r="B71">
        <f t="shared" ca="1" si="5"/>
        <v>-4.7520889897219119E-3</v>
      </c>
      <c r="C71">
        <f t="shared" ca="1" si="6"/>
        <v>1.1076398575861262</v>
      </c>
      <c r="D71">
        <f t="shared" ca="1" si="7"/>
        <v>-5.2636031718121768E-3</v>
      </c>
    </row>
    <row r="72" spans="1:4" x14ac:dyDescent="0.2">
      <c r="A72" t="str">
        <f t="shared" si="4"/>
        <v>day 71</v>
      </c>
      <c r="B72">
        <f t="shared" ca="1" si="5"/>
        <v>5.2482884149608151E-3</v>
      </c>
      <c r="C72">
        <f t="shared" ca="1" si="6"/>
        <v>1.2452009578821115</v>
      </c>
      <c r="D72">
        <f t="shared" ca="1" si="7"/>
        <v>6.5351737615507955E-3</v>
      </c>
    </row>
    <row r="73" spans="1:4" x14ac:dyDescent="0.2">
      <c r="A73" t="str">
        <f t="shared" si="4"/>
        <v>day 72</v>
      </c>
      <c r="B73">
        <f t="shared" ca="1" si="5"/>
        <v>-1.5594823098588131E-3</v>
      </c>
      <c r="C73">
        <f t="shared" ca="1" si="6"/>
        <v>1.286338704938349</v>
      </c>
      <c r="D73">
        <f t="shared" ca="1" si="7"/>
        <v>-2.006022454838051E-3</v>
      </c>
    </row>
    <row r="74" spans="1:4" x14ac:dyDescent="0.2">
      <c r="A74" t="str">
        <f t="shared" si="4"/>
        <v>day 73</v>
      </c>
      <c r="B74">
        <f t="shared" ca="1" si="5"/>
        <v>-1.7655738501428372E-2</v>
      </c>
      <c r="C74">
        <f t="shared" ca="1" si="6"/>
        <v>1.1709720528359708</v>
      </c>
      <c r="D74">
        <f t="shared" ca="1" si="7"/>
        <v>-2.0674376357352666E-2</v>
      </c>
    </row>
    <row r="75" spans="1:4" x14ac:dyDescent="0.2">
      <c r="A75" t="str">
        <f t="shared" si="4"/>
        <v>day 74</v>
      </c>
      <c r="B75">
        <f t="shared" ca="1" si="5"/>
        <v>6.9602360444903748E-3</v>
      </c>
      <c r="C75">
        <f t="shared" ca="1" si="6"/>
        <v>1.0268820995845052</v>
      </c>
      <c r="D75">
        <f t="shared" ca="1" si="7"/>
        <v>7.147341802970027E-3</v>
      </c>
    </row>
    <row r="76" spans="1:4" x14ac:dyDescent="0.2">
      <c r="A76" t="str">
        <f t="shared" si="4"/>
        <v>day 75</v>
      </c>
      <c r="B76">
        <f t="shared" ca="1" si="5"/>
        <v>-4.5521709363925394E-3</v>
      </c>
      <c r="C76">
        <f t="shared" ca="1" si="6"/>
        <v>1.3675317669344855</v>
      </c>
      <c r="D76">
        <f t="shared" ca="1" si="7"/>
        <v>-6.2252383640327008E-3</v>
      </c>
    </row>
    <row r="77" spans="1:4" x14ac:dyDescent="0.2">
      <c r="A77" t="str">
        <f t="shared" si="4"/>
        <v>day 76</v>
      </c>
      <c r="B77">
        <f t="shared" ca="1" si="5"/>
        <v>-1.7202508223201161E-2</v>
      </c>
      <c r="C77">
        <f t="shared" ca="1" si="6"/>
        <v>1.308679394327894</v>
      </c>
      <c r="D77">
        <f t="shared" ca="1" si="7"/>
        <v>-2.2512568042459512E-2</v>
      </c>
    </row>
    <row r="78" spans="1:4" x14ac:dyDescent="0.2">
      <c r="A78" t="str">
        <f t="shared" si="4"/>
        <v>day 77</v>
      </c>
      <c r="B78">
        <f t="shared" ca="1" si="5"/>
        <v>1.7985097466853377E-2</v>
      </c>
      <c r="C78">
        <f t="shared" ca="1" si="6"/>
        <v>1.5220150206322467</v>
      </c>
      <c r="D78">
        <f t="shared" ca="1" si="7"/>
        <v>2.737358849208581E-2</v>
      </c>
    </row>
    <row r="79" spans="1:4" x14ac:dyDescent="0.2">
      <c r="A79" t="str">
        <f t="shared" si="4"/>
        <v>day 78</v>
      </c>
      <c r="B79">
        <f t="shared" ca="1" si="5"/>
        <v>6.4073126950480903E-3</v>
      </c>
      <c r="C79">
        <f t="shared" ca="1" si="6"/>
        <v>1.5365973606480416</v>
      </c>
      <c r="D79">
        <f t="shared" ca="1" si="7"/>
        <v>9.8454597760575854E-3</v>
      </c>
    </row>
    <row r="80" spans="1:4" x14ac:dyDescent="0.2">
      <c r="A80" t="str">
        <f t="shared" si="4"/>
        <v>day 79</v>
      </c>
      <c r="B80">
        <f t="shared" ca="1" si="5"/>
        <v>9.7282837324686525E-3</v>
      </c>
      <c r="C80">
        <f t="shared" ca="1" si="6"/>
        <v>1.7703193172102552</v>
      </c>
      <c r="D80">
        <f t="shared" ca="1" si="7"/>
        <v>1.7222168614891536E-2</v>
      </c>
    </row>
    <row r="81" spans="1:4" x14ac:dyDescent="0.2">
      <c r="A81" t="str">
        <f t="shared" si="4"/>
        <v>day 80</v>
      </c>
      <c r="B81">
        <f t="shared" ca="1" si="5"/>
        <v>1.5271948513544952E-2</v>
      </c>
      <c r="C81">
        <f t="shared" ca="1" si="6"/>
        <v>1.325399339513605</v>
      </c>
      <c r="D81">
        <f t="shared" ca="1" si="7"/>
        <v>2.0241430472938259E-2</v>
      </c>
    </row>
    <row r="82" spans="1:4" x14ac:dyDescent="0.2">
      <c r="A82" t="str">
        <f t="shared" si="4"/>
        <v>day 81</v>
      </c>
      <c r="B82">
        <f t="shared" ca="1" si="5"/>
        <v>-9.6008445031712294E-4</v>
      </c>
      <c r="C82">
        <f t="shared" ca="1" si="6"/>
        <v>1.2733113910707501</v>
      </c>
      <c r="D82">
        <f t="shared" ca="1" si="7"/>
        <v>-1.2224864669786923E-3</v>
      </c>
    </row>
    <row r="83" spans="1:4" x14ac:dyDescent="0.2">
      <c r="A83" t="str">
        <f t="shared" si="4"/>
        <v>day 82</v>
      </c>
      <c r="B83">
        <f t="shared" ca="1" si="5"/>
        <v>-4.2534395260505273E-3</v>
      </c>
      <c r="C83">
        <f t="shared" ca="1" si="6"/>
        <v>1.3793501501457601</v>
      </c>
      <c r="D83">
        <f t="shared" ca="1" si="7"/>
        <v>-5.8669824488937058E-3</v>
      </c>
    </row>
    <row r="84" spans="1:4" x14ac:dyDescent="0.2">
      <c r="A84" t="str">
        <f t="shared" si="4"/>
        <v>day 83</v>
      </c>
      <c r="B84">
        <f t="shared" ca="1" si="5"/>
        <v>5.1076456968441528E-3</v>
      </c>
      <c r="C84">
        <f t="shared" ca="1" si="6"/>
        <v>1.4299137387623913</v>
      </c>
      <c r="D84">
        <f t="shared" ca="1" si="7"/>
        <v>7.3034927546480619E-3</v>
      </c>
    </row>
    <row r="85" spans="1:4" x14ac:dyDescent="0.2">
      <c r="A85" t="str">
        <f t="shared" si="4"/>
        <v>day 84</v>
      </c>
      <c r="B85">
        <f t="shared" ca="1" si="5"/>
        <v>1.0842292778436177E-2</v>
      </c>
      <c r="C85">
        <f t="shared" ca="1" si="6"/>
        <v>1.2849004436334226</v>
      </c>
      <c r="D85">
        <f t="shared" ca="1" si="7"/>
        <v>1.3931266801016097E-2</v>
      </c>
    </row>
    <row r="86" spans="1:4" x14ac:dyDescent="0.2">
      <c r="A86" t="str">
        <f t="shared" si="4"/>
        <v>day 85</v>
      </c>
      <c r="B86">
        <f t="shared" ca="1" si="5"/>
        <v>-9.3907320734308471E-3</v>
      </c>
      <c r="C86">
        <f t="shared" ca="1" si="6"/>
        <v>1.3559627195390163</v>
      </c>
      <c r="D86">
        <f t="shared" ca="1" si="7"/>
        <v>-1.2733482600751557E-2</v>
      </c>
    </row>
    <row r="87" spans="1:4" x14ac:dyDescent="0.2">
      <c r="A87" t="str">
        <f t="shared" si="4"/>
        <v>day 86</v>
      </c>
      <c r="B87">
        <f t="shared" ca="1" si="5"/>
        <v>6.8724246980977222E-3</v>
      </c>
      <c r="C87">
        <f t="shared" ca="1" si="6"/>
        <v>1.0209441395640284</v>
      </c>
      <c r="D87">
        <f t="shared" ca="1" si="7"/>
        <v>7.0163617201179571E-3</v>
      </c>
    </row>
    <row r="88" spans="1:4" x14ac:dyDescent="0.2">
      <c r="A88" t="str">
        <f t="shared" si="4"/>
        <v>day 87</v>
      </c>
      <c r="B88">
        <f t="shared" ca="1" si="5"/>
        <v>5.4459890544948618E-3</v>
      </c>
      <c r="C88">
        <f t="shared" ca="1" si="6"/>
        <v>1.4470181812520642</v>
      </c>
      <c r="D88">
        <f t="shared" ca="1" si="7"/>
        <v>7.8804451767538041E-3</v>
      </c>
    </row>
    <row r="89" spans="1:4" x14ac:dyDescent="0.2">
      <c r="A89" t="str">
        <f t="shared" si="4"/>
        <v>day 88</v>
      </c>
      <c r="B89">
        <f t="shared" ca="1" si="5"/>
        <v>-7.8873475017839541E-3</v>
      </c>
      <c r="C89">
        <f t="shared" ca="1" si="6"/>
        <v>1.0613494755890656</v>
      </c>
      <c r="D89">
        <f ca="1">+C89*B89-0.12</f>
        <v>-0.12837123213480711</v>
      </c>
    </row>
    <row r="90" spans="1:4" x14ac:dyDescent="0.2">
      <c r="A90" t="str">
        <f t="shared" si="4"/>
        <v>day 89</v>
      </c>
      <c r="B90">
        <f t="shared" ca="1" si="5"/>
        <v>1.0654927584033903E-2</v>
      </c>
      <c r="C90">
        <f t="shared" ca="1" si="6"/>
        <v>1.2904779570751359</v>
      </c>
      <c r="D90">
        <f t="shared" ca="1" si="7"/>
        <v>1.3749949181427584E-2</v>
      </c>
    </row>
    <row r="91" spans="1:4" x14ac:dyDescent="0.2">
      <c r="A91" t="str">
        <f t="shared" si="4"/>
        <v>day 90</v>
      </c>
      <c r="B91">
        <f t="shared" ca="1" si="5"/>
        <v>2.1985933857849886E-3</v>
      </c>
      <c r="C91">
        <f t="shared" ca="1" si="6"/>
        <v>1.4920167397894941</v>
      </c>
      <c r="D91">
        <f t="shared" ca="1" si="7"/>
        <v>3.2803381355816642E-3</v>
      </c>
    </row>
    <row r="92" spans="1:4" x14ac:dyDescent="0.2">
      <c r="A92" t="str">
        <f t="shared" si="4"/>
        <v>day 91</v>
      </c>
      <c r="B92">
        <f t="shared" ca="1" si="5"/>
        <v>1.2719001944881398E-2</v>
      </c>
      <c r="C92">
        <f t="shared" ca="1" si="6"/>
        <v>1.282541729810887</v>
      </c>
      <c r="D92">
        <f t="shared" ca="1" si="7"/>
        <v>1.6312650755856223E-2</v>
      </c>
    </row>
    <row r="93" spans="1:4" x14ac:dyDescent="0.2">
      <c r="A93" t="str">
        <f t="shared" si="4"/>
        <v>day 92</v>
      </c>
      <c r="B93">
        <f t="shared" ca="1" si="5"/>
        <v>5.7648499619735519E-3</v>
      </c>
      <c r="C93">
        <f t="shared" ca="1" si="6"/>
        <v>1.0647254788276148</v>
      </c>
      <c r="D93">
        <f t="shared" ca="1" si="7"/>
        <v>6.1379826361316467E-3</v>
      </c>
    </row>
    <row r="94" spans="1:4" x14ac:dyDescent="0.2">
      <c r="A94" t="str">
        <f t="shared" si="4"/>
        <v>day 93</v>
      </c>
      <c r="B94">
        <f t="shared" ca="1" si="5"/>
        <v>1.3318490757114873E-2</v>
      </c>
      <c r="C94">
        <f t="shared" ca="1" si="6"/>
        <v>1.3780820205736459</v>
      </c>
      <c r="D94">
        <f t="shared" ca="1" si="7"/>
        <v>1.8353972653556292E-2</v>
      </c>
    </row>
    <row r="95" spans="1:4" x14ac:dyDescent="0.2">
      <c r="A95" t="str">
        <f t="shared" si="4"/>
        <v>day 94</v>
      </c>
      <c r="B95">
        <f t="shared" ca="1" si="5"/>
        <v>1.1536452243075875E-2</v>
      </c>
      <c r="C95">
        <f t="shared" ca="1" si="6"/>
        <v>1.085623776787539</v>
      </c>
      <c r="D95">
        <f t="shared" ca="1" si="7"/>
        <v>1.2524246854857106E-2</v>
      </c>
    </row>
    <row r="96" spans="1:4" x14ac:dyDescent="0.2">
      <c r="A96" t="str">
        <f t="shared" si="4"/>
        <v>day 95</v>
      </c>
      <c r="B96">
        <f t="shared" ca="1" si="5"/>
        <v>1.1350005705810868E-2</v>
      </c>
      <c r="C96">
        <f t="shared" ca="1" si="6"/>
        <v>1.7461067187717894</v>
      </c>
      <c r="D96">
        <f t="shared" ca="1" si="7"/>
        <v>1.9818321221014502E-2</v>
      </c>
    </row>
    <row r="97" spans="1:4" x14ac:dyDescent="0.2">
      <c r="A97" t="str">
        <f t="shared" si="4"/>
        <v>day 96</v>
      </c>
      <c r="B97">
        <f t="shared" ca="1" si="5"/>
        <v>-9.3570296591118322E-3</v>
      </c>
      <c r="C97">
        <f t="shared" ca="1" si="6"/>
        <v>1.3142986260996101</v>
      </c>
      <c r="D97">
        <f t="shared" ca="1" si="7"/>
        <v>-1.2297931225343985E-2</v>
      </c>
    </row>
    <row r="98" spans="1:4" x14ac:dyDescent="0.2">
      <c r="A98" t="str">
        <f t="shared" si="4"/>
        <v>day 97</v>
      </c>
      <c r="B98">
        <f t="shared" ca="1" si="5"/>
        <v>-7.1947455890228138E-3</v>
      </c>
      <c r="C98">
        <f t="shared" ca="1" si="6"/>
        <v>1.2804021255352798</v>
      </c>
      <c r="D98">
        <f t="shared" ca="1" si="7"/>
        <v>-9.2121675448703887E-3</v>
      </c>
    </row>
    <row r="99" spans="1:4" x14ac:dyDescent="0.2">
      <c r="A99" t="str">
        <f t="shared" si="4"/>
        <v>day 98</v>
      </c>
      <c r="B99">
        <f t="shared" ca="1" si="5"/>
        <v>5.9419740399818529E-3</v>
      </c>
      <c r="C99">
        <f t="shared" ca="1" si="6"/>
        <v>1.563505198636773</v>
      </c>
      <c r="D99">
        <f t="shared" ca="1" si="7"/>
        <v>9.290307301676376E-3</v>
      </c>
    </row>
    <row r="100" spans="1:4" x14ac:dyDescent="0.2">
      <c r="A100" t="str">
        <f t="shared" si="4"/>
        <v>day 99</v>
      </c>
      <c r="B100">
        <f t="shared" ca="1" si="5"/>
        <v>-3.8526398081280989E-3</v>
      </c>
      <c r="C100">
        <f t="shared" ca="1" si="6"/>
        <v>1.2088074748590132</v>
      </c>
      <c r="D100">
        <f t="shared" ca="1" si="7"/>
        <v>-4.6570997980046403E-3</v>
      </c>
    </row>
    <row r="101" spans="1:4" x14ac:dyDescent="0.2">
      <c r="A101" t="str">
        <f t="shared" si="4"/>
        <v>day 100</v>
      </c>
      <c r="B101">
        <f t="shared" ca="1" si="5"/>
        <v>-1.253044245490062E-2</v>
      </c>
      <c r="C101">
        <f t="shared" ca="1" si="6"/>
        <v>1.7726496249451564</v>
      </c>
      <c r="D101">
        <f t="shared" ca="1" si="7"/>
        <v>-2.2212084118076448E-2</v>
      </c>
    </row>
    <row r="102" spans="1:4" x14ac:dyDescent="0.2">
      <c r="A102" t="str">
        <f t="shared" si="4"/>
        <v>day 101</v>
      </c>
      <c r="B102">
        <f t="shared" ca="1" si="5"/>
        <v>-1.1652250084284128E-2</v>
      </c>
      <c r="C102">
        <f t="shared" ca="1" si="6"/>
        <v>1.1866644442772603</v>
      </c>
      <c r="D102">
        <f t="shared" ca="1" si="7"/>
        <v>-1.3827310870846684E-2</v>
      </c>
    </row>
    <row r="103" spans="1:4" x14ac:dyDescent="0.2">
      <c r="A103" t="str">
        <f t="shared" si="4"/>
        <v>day 102</v>
      </c>
      <c r="B103">
        <f t="shared" ca="1" si="5"/>
        <v>-1.02762283966778E-2</v>
      </c>
      <c r="C103">
        <f t="shared" ca="1" si="6"/>
        <v>1.3407780108562952</v>
      </c>
      <c r="D103">
        <f t="shared" ca="1" si="7"/>
        <v>-1.3778141068802636E-2</v>
      </c>
    </row>
    <row r="104" spans="1:4" x14ac:dyDescent="0.2">
      <c r="A104" t="str">
        <f t="shared" si="4"/>
        <v>day 103</v>
      </c>
      <c r="B104">
        <f t="shared" ca="1" si="5"/>
        <v>4.0826328967125602E-4</v>
      </c>
      <c r="C104">
        <f t="shared" ca="1" si="6"/>
        <v>1.9521733482305614</v>
      </c>
      <c r="D104">
        <f t="shared" ca="1" si="7"/>
        <v>7.9700071315715949E-4</v>
      </c>
    </row>
    <row r="105" spans="1:4" x14ac:dyDescent="0.2">
      <c r="A105" t="str">
        <f t="shared" si="4"/>
        <v>day 104</v>
      </c>
      <c r="B105">
        <f t="shared" ca="1" si="5"/>
        <v>2.1857358492757922E-2</v>
      </c>
      <c r="C105">
        <f t="shared" ca="1" si="6"/>
        <v>1.2451184942337854</v>
      </c>
      <c r="D105">
        <f t="shared" ca="1" si="7"/>
        <v>2.7215001294430784E-2</v>
      </c>
    </row>
    <row r="106" spans="1:4" x14ac:dyDescent="0.2">
      <c r="A106" t="str">
        <f t="shared" si="4"/>
        <v>day 105</v>
      </c>
      <c r="B106">
        <f t="shared" ca="1" si="5"/>
        <v>1.3996812438493825E-2</v>
      </c>
      <c r="C106">
        <f t="shared" ca="1" si="6"/>
        <v>1.1060154589511844</v>
      </c>
      <c r="D106">
        <f t="shared" ca="1" si="7"/>
        <v>1.5480690933014395E-2</v>
      </c>
    </row>
    <row r="107" spans="1:4" x14ac:dyDescent="0.2">
      <c r="A107" t="str">
        <f t="shared" si="4"/>
        <v>day 106</v>
      </c>
      <c r="B107">
        <f t="shared" ca="1" si="5"/>
        <v>-8.1430651653765559E-3</v>
      </c>
      <c r="C107">
        <f t="shared" ca="1" si="6"/>
        <v>1.0509537884942715</v>
      </c>
      <c r="D107">
        <f t="shared" ca="1" si="7"/>
        <v>-8.5579851855082222E-3</v>
      </c>
    </row>
    <row r="108" spans="1:4" x14ac:dyDescent="0.2">
      <c r="A108" t="str">
        <f t="shared" si="4"/>
        <v>day 107</v>
      </c>
      <c r="B108">
        <f t="shared" ca="1" si="5"/>
        <v>3.4695096149376945E-3</v>
      </c>
      <c r="C108">
        <f t="shared" ca="1" si="6"/>
        <v>1.524765823638631</v>
      </c>
      <c r="D108">
        <f t="shared" ca="1" si="7"/>
        <v>5.2901896856426232E-3</v>
      </c>
    </row>
    <row r="109" spans="1:4" x14ac:dyDescent="0.2">
      <c r="A109" t="str">
        <f t="shared" si="4"/>
        <v>day 108</v>
      </c>
      <c r="B109">
        <f t="shared" ca="1" si="5"/>
        <v>4.1936835531049708E-3</v>
      </c>
      <c r="C109">
        <f t="shared" ca="1" si="6"/>
        <v>1.076222027629679</v>
      </c>
      <c r="D109">
        <f t="shared" ca="1" si="7"/>
        <v>4.5133346167598679E-3</v>
      </c>
    </row>
    <row r="110" spans="1:4" x14ac:dyDescent="0.2">
      <c r="A110" t="str">
        <f t="shared" si="4"/>
        <v>day 109</v>
      </c>
      <c r="B110">
        <f t="shared" ca="1" si="5"/>
        <v>2.1275524384284768E-2</v>
      </c>
      <c r="C110">
        <f t="shared" ca="1" si="6"/>
        <v>1.4086479078104723</v>
      </c>
      <c r="D110">
        <f t="shared" ca="1" si="7"/>
        <v>2.9969722911493427E-2</v>
      </c>
    </row>
    <row r="111" spans="1:4" x14ac:dyDescent="0.2">
      <c r="A111" t="str">
        <f t="shared" si="4"/>
        <v>day 110</v>
      </c>
      <c r="B111">
        <f t="shared" ca="1" si="5"/>
        <v>-6.1135916941705143E-3</v>
      </c>
      <c r="C111">
        <f t="shared" ca="1" si="6"/>
        <v>1.4214587454222729</v>
      </c>
      <c r="D111">
        <f t="shared" ca="1" si="7"/>
        <v>-8.6902183796196478E-3</v>
      </c>
    </row>
    <row r="112" spans="1:4" x14ac:dyDescent="0.2">
      <c r="A112" t="str">
        <f t="shared" si="4"/>
        <v>day 111</v>
      </c>
      <c r="B112">
        <f t="shared" ca="1" si="5"/>
        <v>-3.7931077229341669E-3</v>
      </c>
      <c r="C112">
        <f t="shared" ca="1" si="6"/>
        <v>1.3446223450344823</v>
      </c>
      <c r="D112">
        <f t="shared" ca="1" si="7"/>
        <v>-5.1002974013801446E-3</v>
      </c>
    </row>
    <row r="113" spans="1:4" x14ac:dyDescent="0.2">
      <c r="A113" t="str">
        <f t="shared" si="4"/>
        <v>day 112</v>
      </c>
      <c r="B113">
        <f t="shared" ca="1" si="5"/>
        <v>8.6176330262478611E-4</v>
      </c>
      <c r="C113">
        <f t="shared" ca="1" si="6"/>
        <v>1.6004953907630952</v>
      </c>
      <c r="D113">
        <f t="shared" ca="1" si="7"/>
        <v>1.3792481937797525E-3</v>
      </c>
    </row>
    <row r="114" spans="1:4" x14ac:dyDescent="0.2">
      <c r="A114" t="str">
        <f t="shared" si="4"/>
        <v>day 113</v>
      </c>
      <c r="B114">
        <f t="shared" ca="1" si="5"/>
        <v>1.7795089078390638E-2</v>
      </c>
      <c r="C114">
        <f t="shared" ca="1" si="6"/>
        <v>1.2744310570629154</v>
      </c>
      <c r="D114">
        <f t="shared" ca="1" si="7"/>
        <v>2.2678614184702121E-2</v>
      </c>
    </row>
    <row r="115" spans="1:4" x14ac:dyDescent="0.2">
      <c r="A115" t="str">
        <f t="shared" si="4"/>
        <v>day 114</v>
      </c>
      <c r="B115">
        <f t="shared" ca="1" si="5"/>
        <v>7.40073064348447E-3</v>
      </c>
      <c r="C115">
        <f t="shared" ca="1" si="6"/>
        <v>1.0766123117083091</v>
      </c>
      <c r="D115">
        <f t="shared" ca="1" si="7"/>
        <v>7.9677177264123374E-3</v>
      </c>
    </row>
    <row r="116" spans="1:4" x14ac:dyDescent="0.2">
      <c r="A116" t="str">
        <f t="shared" si="4"/>
        <v>day 115</v>
      </c>
      <c r="B116">
        <f t="shared" ca="1" si="5"/>
        <v>5.8314926933106942E-4</v>
      </c>
      <c r="C116">
        <f t="shared" ca="1" si="6"/>
        <v>1.0332727591120681</v>
      </c>
      <c r="D116">
        <f t="shared" ca="1" si="7"/>
        <v>6.025522544959006E-4</v>
      </c>
    </row>
    <row r="117" spans="1:4" x14ac:dyDescent="0.2">
      <c r="A117" t="str">
        <f t="shared" si="4"/>
        <v>day 116</v>
      </c>
      <c r="B117">
        <f t="shared" ca="1" si="5"/>
        <v>1.8077874026662536E-3</v>
      </c>
      <c r="C117">
        <f t="shared" ca="1" si="6"/>
        <v>2.2524081732304362</v>
      </c>
      <c r="D117">
        <f t="shared" ca="1" si="7"/>
        <v>4.0718751212284908E-3</v>
      </c>
    </row>
    <row r="118" spans="1:4" x14ac:dyDescent="0.2">
      <c r="A118" t="str">
        <f t="shared" si="4"/>
        <v>day 117</v>
      </c>
      <c r="B118">
        <f t="shared" ca="1" si="5"/>
        <v>4.8694826084155242E-3</v>
      </c>
      <c r="C118">
        <f t="shared" ca="1" si="6"/>
        <v>1.3785285392905728</v>
      </c>
      <c r="D118">
        <f t="shared" ca="1" si="7"/>
        <v>6.7127207472799013E-3</v>
      </c>
    </row>
    <row r="119" spans="1:4" x14ac:dyDescent="0.2">
      <c r="A119" t="str">
        <f t="shared" si="4"/>
        <v>day 118</v>
      </c>
      <c r="B119">
        <f t="shared" ca="1" si="5"/>
        <v>3.0112899902642915E-3</v>
      </c>
      <c r="C119">
        <f t="shared" ca="1" si="6"/>
        <v>1.0408149790573407</v>
      </c>
      <c r="D119">
        <f t="shared" ca="1" si="7"/>
        <v>3.1341957281525081E-3</v>
      </c>
    </row>
    <row r="120" spans="1:4" x14ac:dyDescent="0.2">
      <c r="A120" t="str">
        <f t="shared" si="4"/>
        <v>day 119</v>
      </c>
      <c r="B120">
        <f t="shared" ca="1" si="5"/>
        <v>2.94797555322792E-2</v>
      </c>
      <c r="C120">
        <f t="shared" ca="1" si="6"/>
        <v>1.2244281510323154</v>
      </c>
      <c r="D120">
        <f t="shared" ca="1" si="7"/>
        <v>3.609584255927329E-2</v>
      </c>
    </row>
    <row r="121" spans="1:4" x14ac:dyDescent="0.2">
      <c r="A121" t="str">
        <f t="shared" si="4"/>
        <v>day 120</v>
      </c>
      <c r="B121">
        <f t="shared" ca="1" si="5"/>
        <v>2.5391270614806973E-2</v>
      </c>
      <c r="C121">
        <f t="shared" ca="1" si="6"/>
        <v>1.8784114376085927</v>
      </c>
      <c r="D121">
        <f t="shared" ca="1" si="7"/>
        <v>4.7695253138268383E-2</v>
      </c>
    </row>
    <row r="122" spans="1:4" x14ac:dyDescent="0.2">
      <c r="A122" t="str">
        <f t="shared" si="4"/>
        <v>day 121</v>
      </c>
      <c r="B122">
        <f t="shared" ca="1" si="5"/>
        <v>-2.699481571623509E-3</v>
      </c>
      <c r="C122">
        <f t="shared" ca="1" si="6"/>
        <v>1.0576937876166774</v>
      </c>
      <c r="D122">
        <f t="shared" ca="1" si="7"/>
        <v>-2.8552248880918903E-3</v>
      </c>
    </row>
    <row r="123" spans="1:4" x14ac:dyDescent="0.2">
      <c r="A123" t="str">
        <f t="shared" si="4"/>
        <v>day 122</v>
      </c>
      <c r="B123">
        <f t="shared" ca="1" si="5"/>
        <v>-6.5889194110605679E-4</v>
      </c>
      <c r="C123">
        <f t="shared" ca="1" si="6"/>
        <v>1.0380653171621397</v>
      </c>
      <c r="D123">
        <f t="shared" ca="1" si="7"/>
        <v>-6.8397287181983673E-4</v>
      </c>
    </row>
    <row r="124" spans="1:4" x14ac:dyDescent="0.2">
      <c r="A124" t="str">
        <f t="shared" si="4"/>
        <v>day 123</v>
      </c>
      <c r="B124">
        <f t="shared" ca="1" si="5"/>
        <v>2.5970206668153389E-3</v>
      </c>
      <c r="C124">
        <f t="shared" ca="1" si="6"/>
        <v>1.22598806694119</v>
      </c>
      <c r="D124">
        <f t="shared" ca="1" si="7"/>
        <v>3.1839163471152577E-3</v>
      </c>
    </row>
    <row r="125" spans="1:4" x14ac:dyDescent="0.2">
      <c r="A125" t="str">
        <f t="shared" si="4"/>
        <v>day 124</v>
      </c>
      <c r="B125">
        <f t="shared" ca="1" si="5"/>
        <v>2.1980417229588996E-2</v>
      </c>
      <c r="C125">
        <f t="shared" ca="1" si="6"/>
        <v>1.6223553640186412</v>
      </c>
      <c r="D125">
        <f t="shared" ca="1" si="7"/>
        <v>3.5660047795791468E-2</v>
      </c>
    </row>
    <row r="126" spans="1:4" x14ac:dyDescent="0.2">
      <c r="A126" t="str">
        <f t="shared" si="4"/>
        <v>day 125</v>
      </c>
      <c r="B126">
        <f t="shared" ca="1" si="5"/>
        <v>5.4978843459015728E-3</v>
      </c>
      <c r="C126">
        <f t="shared" ca="1" si="6"/>
        <v>1.5757209673166366</v>
      </c>
      <c r="D126">
        <f t="shared" ca="1" si="7"/>
        <v>8.6631316397190201E-3</v>
      </c>
    </row>
    <row r="127" spans="1:4" x14ac:dyDescent="0.2">
      <c r="A127" t="str">
        <f t="shared" si="4"/>
        <v>day 126</v>
      </c>
      <c r="B127">
        <f t="shared" ca="1" si="5"/>
        <v>-1.6558866374429063E-3</v>
      </c>
      <c r="C127">
        <f t="shared" ca="1" si="6"/>
        <v>1.4420644707179406</v>
      </c>
      <c r="D127">
        <f t="shared" ca="1" si="7"/>
        <v>-2.3878952873930149E-3</v>
      </c>
    </row>
    <row r="128" spans="1:4" x14ac:dyDescent="0.2">
      <c r="A128" t="str">
        <f t="shared" si="4"/>
        <v>day 127</v>
      </c>
      <c r="B128">
        <f t="shared" ca="1" si="5"/>
        <v>8.8509762785726614E-3</v>
      </c>
      <c r="C128">
        <f t="shared" ca="1" si="6"/>
        <v>1.3146577555525498</v>
      </c>
      <c r="D128">
        <f t="shared" ca="1" si="7"/>
        <v>1.1636004608837194E-2</v>
      </c>
    </row>
    <row r="129" spans="1:4" x14ac:dyDescent="0.2">
      <c r="A129" t="str">
        <f t="shared" si="4"/>
        <v>day 128</v>
      </c>
      <c r="B129">
        <f t="shared" ca="1" si="5"/>
        <v>1.271741933655918E-3</v>
      </c>
      <c r="C129">
        <f t="shared" ca="1" si="6"/>
        <v>1.018804355792402</v>
      </c>
      <c r="D129">
        <f t="shared" ca="1" si="7"/>
        <v>1.2956562214525014E-3</v>
      </c>
    </row>
    <row r="130" spans="1:4" x14ac:dyDescent="0.2">
      <c r="A130" t="str">
        <f t="shared" si="4"/>
        <v>day 129</v>
      </c>
      <c r="B130">
        <f t="shared" ca="1" si="5"/>
        <v>4.7984619890699921E-3</v>
      </c>
      <c r="C130">
        <f t="shared" ca="1" si="6"/>
        <v>1.3049406608214917</v>
      </c>
      <c r="D130">
        <f t="shared" ca="1" si="7"/>
        <v>6.2617081589438055E-3</v>
      </c>
    </row>
    <row r="131" spans="1:4" x14ac:dyDescent="0.2">
      <c r="A131" t="str">
        <f t="shared" ref="A131:A194" si="8">+IF(ROW()&lt;251,"day "&amp;ROW()-1,"")</f>
        <v>day 130</v>
      </c>
      <c r="B131">
        <f t="shared" ref="B131:B194" ca="1" si="9">+_xlfn.NORM.INV(RAND(),0.004,0.01)</f>
        <v>2.4734693358503305E-3</v>
      </c>
      <c r="C131">
        <f t="shared" ref="C131:C194" ca="1" si="10">1+0.5*ABS(_xlfn.NORM.INV(RAND(),0,0.8))</f>
        <v>1.3326168320976235</v>
      </c>
      <c r="D131">
        <f t="shared" ref="D131:D194" ca="1" si="11">+C131*B131</f>
        <v>3.2961868706314801E-3</v>
      </c>
    </row>
    <row r="132" spans="1:4" x14ac:dyDescent="0.2">
      <c r="A132" t="str">
        <f t="shared" si="8"/>
        <v>day 131</v>
      </c>
      <c r="B132">
        <f t="shared" ca="1" si="9"/>
        <v>9.9033762078894194E-3</v>
      </c>
      <c r="C132">
        <f t="shared" ca="1" si="10"/>
        <v>1.4375965732452989</v>
      </c>
      <c r="D132">
        <f t="shared" ca="1" si="11"/>
        <v>1.4237059700020852E-2</v>
      </c>
    </row>
    <row r="133" spans="1:4" x14ac:dyDescent="0.2">
      <c r="A133" t="str">
        <f t="shared" si="8"/>
        <v>day 132</v>
      </c>
      <c r="B133">
        <f t="shared" ca="1" si="9"/>
        <v>1.7636866123875768E-2</v>
      </c>
      <c r="C133">
        <f t="shared" ca="1" si="10"/>
        <v>1.3792490776482247</v>
      </c>
      <c r="D133">
        <f t="shared" ca="1" si="11"/>
        <v>2.4325631333960873E-2</v>
      </c>
    </row>
    <row r="134" spans="1:4" x14ac:dyDescent="0.2">
      <c r="A134" t="str">
        <f t="shared" si="8"/>
        <v>day 133</v>
      </c>
      <c r="B134">
        <f t="shared" ca="1" si="9"/>
        <v>1.6221923849089284E-2</v>
      </c>
      <c r="C134">
        <f t="shared" ca="1" si="10"/>
        <v>1.2382844493991816</v>
      </c>
      <c r="D134">
        <f t="shared" ca="1" si="11"/>
        <v>2.0087356041664978E-2</v>
      </c>
    </row>
    <row r="135" spans="1:4" x14ac:dyDescent="0.2">
      <c r="A135" t="str">
        <f t="shared" si="8"/>
        <v>day 134</v>
      </c>
      <c r="B135">
        <f t="shared" ca="1" si="9"/>
        <v>6.4572406970637448E-3</v>
      </c>
      <c r="C135">
        <f t="shared" ca="1" si="10"/>
        <v>1.9557588460662529</v>
      </c>
      <c r="D135">
        <f t="shared" ca="1" si="11"/>
        <v>1.2628805614461436E-2</v>
      </c>
    </row>
    <row r="136" spans="1:4" x14ac:dyDescent="0.2">
      <c r="A136" t="str">
        <f t="shared" si="8"/>
        <v>day 135</v>
      </c>
      <c r="B136">
        <f t="shared" ca="1" si="9"/>
        <v>-1.6917324381206147E-2</v>
      </c>
      <c r="C136">
        <f t="shared" ca="1" si="10"/>
        <v>1.6593970976794954</v>
      </c>
      <c r="D136">
        <f t="shared" ca="1" si="11"/>
        <v>-2.8072558978676047E-2</v>
      </c>
    </row>
    <row r="137" spans="1:4" x14ac:dyDescent="0.2">
      <c r="A137" t="str">
        <f t="shared" si="8"/>
        <v>day 136</v>
      </c>
      <c r="B137">
        <f t="shared" ca="1" si="9"/>
        <v>-1.9070161301429234E-3</v>
      </c>
      <c r="C137">
        <f t="shared" ca="1" si="10"/>
        <v>1.1208770657595193</v>
      </c>
      <c r="D137">
        <f t="shared" ca="1" si="11"/>
        <v>-2.1375306443106737E-3</v>
      </c>
    </row>
    <row r="138" spans="1:4" x14ac:dyDescent="0.2">
      <c r="A138" t="str">
        <f t="shared" si="8"/>
        <v>day 137</v>
      </c>
      <c r="B138">
        <f t="shared" ca="1" si="9"/>
        <v>4.047857477059073E-3</v>
      </c>
      <c r="C138">
        <f t="shared" ca="1" si="10"/>
        <v>1.0504933485207837</v>
      </c>
      <c r="D138">
        <f t="shared" ca="1" si="11"/>
        <v>4.2522473554106772E-3</v>
      </c>
    </row>
    <row r="139" spans="1:4" x14ac:dyDescent="0.2">
      <c r="A139" t="str">
        <f t="shared" si="8"/>
        <v>day 138</v>
      </c>
      <c r="B139">
        <f t="shared" ca="1" si="9"/>
        <v>-1.0598416657296737E-2</v>
      </c>
      <c r="C139">
        <f t="shared" ca="1" si="10"/>
        <v>1.2768011294147914</v>
      </c>
      <c r="D139">
        <f t="shared" ca="1" si="11"/>
        <v>-1.3532070358045012E-2</v>
      </c>
    </row>
    <row r="140" spans="1:4" x14ac:dyDescent="0.2">
      <c r="A140" t="str">
        <f t="shared" si="8"/>
        <v>day 139</v>
      </c>
      <c r="B140">
        <f t="shared" ca="1" si="9"/>
        <v>5.1922925650468334E-3</v>
      </c>
      <c r="C140">
        <f t="shared" ca="1" si="10"/>
        <v>1.0860407043512039</v>
      </c>
      <c r="D140">
        <f t="shared" ca="1" si="11"/>
        <v>5.6390410745409819E-3</v>
      </c>
    </row>
    <row r="141" spans="1:4" x14ac:dyDescent="0.2">
      <c r="A141" t="str">
        <f t="shared" si="8"/>
        <v>day 140</v>
      </c>
      <c r="B141">
        <f t="shared" ca="1" si="9"/>
        <v>1.0644218055428098E-3</v>
      </c>
      <c r="C141">
        <f t="shared" ca="1" si="10"/>
        <v>1.6746953044082638</v>
      </c>
      <c r="D141">
        <f t="shared" ca="1" si="11"/>
        <v>1.7825821996523097E-3</v>
      </c>
    </row>
    <row r="142" spans="1:4" x14ac:dyDescent="0.2">
      <c r="A142" t="str">
        <f t="shared" si="8"/>
        <v>day 141</v>
      </c>
      <c r="B142">
        <f t="shared" ca="1" si="9"/>
        <v>-4.0122495827668424E-3</v>
      </c>
      <c r="C142">
        <f t="shared" ca="1" si="10"/>
        <v>1.0985966297220013</v>
      </c>
      <c r="D142">
        <f t="shared" ca="1" si="11"/>
        <v>-4.4078438692311591E-3</v>
      </c>
    </row>
    <row r="143" spans="1:4" x14ac:dyDescent="0.2">
      <c r="A143" t="str">
        <f t="shared" si="8"/>
        <v>day 142</v>
      </c>
      <c r="B143">
        <f t="shared" ca="1" si="9"/>
        <v>1.0633842710600369E-3</v>
      </c>
      <c r="C143">
        <f t="shared" ca="1" si="10"/>
        <v>1.1863566159441679</v>
      </c>
      <c r="D143">
        <f t="shared" ca="1" si="11"/>
        <v>1.2615529652630411E-3</v>
      </c>
    </row>
    <row r="144" spans="1:4" x14ac:dyDescent="0.2">
      <c r="A144" t="str">
        <f t="shared" si="8"/>
        <v>day 143</v>
      </c>
      <c r="B144">
        <f t="shared" ca="1" si="9"/>
        <v>9.5894569302576484E-3</v>
      </c>
      <c r="C144">
        <f t="shared" ca="1" si="10"/>
        <v>1.5688976364826446</v>
      </c>
      <c r="D144">
        <f t="shared" ca="1" si="11"/>
        <v>1.5044876313033341E-2</v>
      </c>
    </row>
    <row r="145" spans="1:4" x14ac:dyDescent="0.2">
      <c r="A145" t="str">
        <f t="shared" si="8"/>
        <v>day 144</v>
      </c>
      <c r="B145">
        <f t="shared" ca="1" si="9"/>
        <v>-1.351062124669445E-4</v>
      </c>
      <c r="C145">
        <f t="shared" ca="1" si="10"/>
        <v>1.4550490004830865</v>
      </c>
      <c r="D145">
        <f t="shared" ca="1" si="11"/>
        <v>-1.9658615940908311E-4</v>
      </c>
    </row>
    <row r="146" spans="1:4" x14ac:dyDescent="0.2">
      <c r="A146" t="str">
        <f t="shared" si="8"/>
        <v>day 145</v>
      </c>
      <c r="B146">
        <f t="shared" ca="1" si="9"/>
        <v>4.8655559363082806E-3</v>
      </c>
      <c r="C146">
        <f t="shared" ca="1" si="10"/>
        <v>1.2332623445599198</v>
      </c>
      <c r="D146">
        <f t="shared" ca="1" si="11"/>
        <v>6.0005069215989856E-3</v>
      </c>
    </row>
    <row r="147" spans="1:4" x14ac:dyDescent="0.2">
      <c r="A147" t="str">
        <f t="shared" si="8"/>
        <v>day 146</v>
      </c>
      <c r="B147">
        <f t="shared" ca="1" si="9"/>
        <v>-1.166430915459106E-2</v>
      </c>
      <c r="C147">
        <f t="shared" ca="1" si="10"/>
        <v>1.1301812771836159</v>
      </c>
      <c r="D147">
        <f t="shared" ca="1" si="11"/>
        <v>-1.3182783817800267E-2</v>
      </c>
    </row>
    <row r="148" spans="1:4" x14ac:dyDescent="0.2">
      <c r="A148" t="str">
        <f t="shared" si="8"/>
        <v>day 147</v>
      </c>
      <c r="B148">
        <f t="shared" ca="1" si="9"/>
        <v>-1.0300309630415524E-2</v>
      </c>
      <c r="C148">
        <f t="shared" ca="1" si="10"/>
        <v>1.2350559829097498</v>
      </c>
      <c r="D148">
        <f t="shared" ca="1" si="11"/>
        <v>-1.2721459034867608E-2</v>
      </c>
    </row>
    <row r="149" spans="1:4" x14ac:dyDescent="0.2">
      <c r="A149" t="str">
        <f t="shared" si="8"/>
        <v>day 148</v>
      </c>
      <c r="B149">
        <f t="shared" ca="1" si="9"/>
        <v>8.3377790111398876E-3</v>
      </c>
      <c r="C149">
        <f t="shared" ca="1" si="10"/>
        <v>1.3678333498478017</v>
      </c>
      <c r="D149">
        <f t="shared" ca="1" si="11"/>
        <v>1.1404692195098164E-2</v>
      </c>
    </row>
    <row r="150" spans="1:4" x14ac:dyDescent="0.2">
      <c r="A150" t="str">
        <f t="shared" si="8"/>
        <v>day 149</v>
      </c>
      <c r="B150">
        <f t="shared" ca="1" si="9"/>
        <v>1.0182023208551022E-2</v>
      </c>
      <c r="C150">
        <f t="shared" ca="1" si="10"/>
        <v>1.5925103395012181</v>
      </c>
      <c r="D150">
        <f t="shared" ca="1" si="11"/>
        <v>1.6214977236658872E-2</v>
      </c>
    </row>
    <row r="151" spans="1:4" x14ac:dyDescent="0.2">
      <c r="A151" t="str">
        <f t="shared" si="8"/>
        <v>day 150</v>
      </c>
      <c r="B151">
        <f t="shared" ca="1" si="9"/>
        <v>2.1425989196236185E-3</v>
      </c>
      <c r="C151">
        <f t="shared" ca="1" si="10"/>
        <v>1.0819457673494441</v>
      </c>
      <c r="D151">
        <f t="shared" ca="1" si="11"/>
        <v>2.3181758322142658E-3</v>
      </c>
    </row>
    <row r="152" spans="1:4" x14ac:dyDescent="0.2">
      <c r="A152" t="str">
        <f t="shared" si="8"/>
        <v>day 151</v>
      </c>
      <c r="B152">
        <f t="shared" ca="1" si="9"/>
        <v>2.2272976640616574E-2</v>
      </c>
      <c r="C152">
        <f t="shared" ca="1" si="10"/>
        <v>1.3059301904045955</v>
      </c>
      <c r="D152">
        <f t="shared" ca="1" si="11"/>
        <v>2.9086952625157508E-2</v>
      </c>
    </row>
    <row r="153" spans="1:4" x14ac:dyDescent="0.2">
      <c r="A153" t="str">
        <f t="shared" si="8"/>
        <v>day 152</v>
      </c>
      <c r="B153">
        <f t="shared" ca="1" si="9"/>
        <v>1.7922468722119375E-2</v>
      </c>
      <c r="C153">
        <f t="shared" ca="1" si="10"/>
        <v>1.0472877111094772</v>
      </c>
      <c r="D153">
        <f t="shared" ca="1" si="11"/>
        <v>1.8769981245419596E-2</v>
      </c>
    </row>
    <row r="154" spans="1:4" x14ac:dyDescent="0.2">
      <c r="A154" t="str">
        <f t="shared" si="8"/>
        <v>day 153</v>
      </c>
      <c r="B154">
        <f t="shared" ca="1" si="9"/>
        <v>1.089055406222373E-2</v>
      </c>
      <c r="C154">
        <f t="shared" ca="1" si="10"/>
        <v>1.0521763666348851</v>
      </c>
      <c r="D154">
        <f t="shared" ca="1" si="11"/>
        <v>1.1458783603831353E-2</v>
      </c>
    </row>
    <row r="155" spans="1:4" x14ac:dyDescent="0.2">
      <c r="A155" t="str">
        <f t="shared" si="8"/>
        <v>day 154</v>
      </c>
      <c r="B155">
        <f t="shared" ca="1" si="9"/>
        <v>-5.8867998593125012E-3</v>
      </c>
      <c r="C155">
        <f t="shared" ca="1" si="10"/>
        <v>1.4833202086885979</v>
      </c>
      <c r="D155">
        <f t="shared" ca="1" si="11"/>
        <v>-8.7320091958234276E-3</v>
      </c>
    </row>
    <row r="156" spans="1:4" x14ac:dyDescent="0.2">
      <c r="A156" t="str">
        <f t="shared" si="8"/>
        <v>day 155</v>
      </c>
      <c r="B156">
        <f t="shared" ca="1" si="9"/>
        <v>2.9251940413406816E-3</v>
      </c>
      <c r="C156">
        <f t="shared" ca="1" si="10"/>
        <v>1.0204606559744112</v>
      </c>
      <c r="D156">
        <f t="shared" ca="1" si="11"/>
        <v>2.9850454302789509E-3</v>
      </c>
    </row>
    <row r="157" spans="1:4" x14ac:dyDescent="0.2">
      <c r="A157" t="str">
        <f t="shared" si="8"/>
        <v>day 156</v>
      </c>
      <c r="B157">
        <f t="shared" ca="1" si="9"/>
        <v>-2.5301120470150561E-3</v>
      </c>
      <c r="C157">
        <f t="shared" ca="1" si="10"/>
        <v>1.6180229193987876</v>
      </c>
      <c r="D157">
        <f t="shared" ca="1" si="11"/>
        <v>-4.093779280717344E-3</v>
      </c>
    </row>
    <row r="158" spans="1:4" x14ac:dyDescent="0.2">
      <c r="A158" t="str">
        <f t="shared" si="8"/>
        <v>day 157</v>
      </c>
      <c r="B158">
        <f t="shared" ca="1" si="9"/>
        <v>2.8669705509708804E-3</v>
      </c>
      <c r="C158">
        <f t="shared" ca="1" si="10"/>
        <v>1.7464986648884575</v>
      </c>
      <c r="D158">
        <f t="shared" ca="1" si="11"/>
        <v>5.0071602395451676E-3</v>
      </c>
    </row>
    <row r="159" spans="1:4" x14ac:dyDescent="0.2">
      <c r="A159" t="str">
        <f t="shared" si="8"/>
        <v>day 158</v>
      </c>
      <c r="B159">
        <f t="shared" ca="1" si="9"/>
        <v>8.3923089418279084E-3</v>
      </c>
      <c r="C159">
        <f t="shared" ca="1" si="10"/>
        <v>1.0945075192400866</v>
      </c>
      <c r="D159">
        <f t="shared" ca="1" si="11"/>
        <v>9.1854452406164595E-3</v>
      </c>
    </row>
    <row r="160" spans="1:4" x14ac:dyDescent="0.2">
      <c r="A160" t="str">
        <f t="shared" si="8"/>
        <v>day 159</v>
      </c>
      <c r="B160">
        <f t="shared" ca="1" si="9"/>
        <v>-1.0301883125794126E-2</v>
      </c>
      <c r="C160">
        <f t="shared" ca="1" si="10"/>
        <v>1.5515430816888718</v>
      </c>
      <c r="D160">
        <f t="shared" ca="1" si="11"/>
        <v>-1.5983815492193205E-2</v>
      </c>
    </row>
    <row r="161" spans="1:4" x14ac:dyDescent="0.2">
      <c r="A161" t="str">
        <f t="shared" si="8"/>
        <v>day 160</v>
      </c>
      <c r="B161">
        <f t="shared" ca="1" si="9"/>
        <v>7.9679268738850808E-3</v>
      </c>
      <c r="C161">
        <f t="shared" ca="1" si="10"/>
        <v>1.0125924595147651</v>
      </c>
      <c r="D161">
        <f t="shared" ca="1" si="11"/>
        <v>8.0682626704610873E-3</v>
      </c>
    </row>
    <row r="162" spans="1:4" x14ac:dyDescent="0.2">
      <c r="A162" t="str">
        <f t="shared" si="8"/>
        <v>day 161</v>
      </c>
      <c r="B162">
        <f t="shared" ca="1" si="9"/>
        <v>5.946426543530294E-3</v>
      </c>
      <c r="C162">
        <f t="shared" ca="1" si="10"/>
        <v>1.4314931112331535</v>
      </c>
      <c r="D162">
        <f t="shared" ca="1" si="11"/>
        <v>8.5122686335175873E-3</v>
      </c>
    </row>
    <row r="163" spans="1:4" x14ac:dyDescent="0.2">
      <c r="A163" t="str">
        <f t="shared" si="8"/>
        <v>day 162</v>
      </c>
      <c r="B163">
        <f t="shared" ca="1" si="9"/>
        <v>3.4086585125396988E-3</v>
      </c>
      <c r="C163">
        <f t="shared" ca="1" si="10"/>
        <v>1.3540558994261751</v>
      </c>
      <c r="D163">
        <f t="shared" ca="1" si="11"/>
        <v>4.6155141680336298E-3</v>
      </c>
    </row>
    <row r="164" spans="1:4" x14ac:dyDescent="0.2">
      <c r="A164" t="str">
        <f t="shared" si="8"/>
        <v>day 163</v>
      </c>
      <c r="B164">
        <f t="shared" ca="1" si="9"/>
        <v>-5.3365356896221353E-3</v>
      </c>
      <c r="C164">
        <f t="shared" ca="1" si="10"/>
        <v>1.1482919852981719</v>
      </c>
      <c r="D164">
        <f t="shared" ca="1" si="11"/>
        <v>-6.1279011616507508E-3</v>
      </c>
    </row>
    <row r="165" spans="1:4" x14ac:dyDescent="0.2">
      <c r="A165" t="str">
        <f t="shared" si="8"/>
        <v>day 164</v>
      </c>
      <c r="B165">
        <f t="shared" ca="1" si="9"/>
        <v>-1.0276108176954712E-3</v>
      </c>
      <c r="C165">
        <f t="shared" ca="1" si="10"/>
        <v>1.0197422174241191</v>
      </c>
      <c r="D165">
        <f t="shared" ca="1" si="11"/>
        <v>-1.047898133885792E-3</v>
      </c>
    </row>
    <row r="166" spans="1:4" x14ac:dyDescent="0.2">
      <c r="A166" t="str">
        <f t="shared" si="8"/>
        <v>day 165</v>
      </c>
      <c r="B166">
        <f t="shared" ca="1" si="9"/>
        <v>9.8673941743140613E-3</v>
      </c>
      <c r="C166">
        <f t="shared" ca="1" si="10"/>
        <v>1.2088239300417654</v>
      </c>
      <c r="D166">
        <f t="shared" ca="1" si="11"/>
        <v>1.1927942205065543E-2</v>
      </c>
    </row>
    <row r="167" spans="1:4" x14ac:dyDescent="0.2">
      <c r="A167" t="str">
        <f t="shared" si="8"/>
        <v>day 166</v>
      </c>
      <c r="B167">
        <f t="shared" ca="1" si="9"/>
        <v>5.7766983602925131E-3</v>
      </c>
      <c r="C167">
        <f t="shared" ca="1" si="10"/>
        <v>1.5520291971465203</v>
      </c>
      <c r="D167">
        <f t="shared" ca="1" si="11"/>
        <v>8.9656045182824103E-3</v>
      </c>
    </row>
    <row r="168" spans="1:4" x14ac:dyDescent="0.2">
      <c r="A168" t="str">
        <f t="shared" si="8"/>
        <v>day 167</v>
      </c>
      <c r="B168">
        <f t="shared" ca="1" si="9"/>
        <v>7.6998924424915467E-3</v>
      </c>
      <c r="C168">
        <f t="shared" ca="1" si="10"/>
        <v>1.7152900635812396</v>
      </c>
      <c r="D168">
        <f t="shared" ca="1" si="11"/>
        <v>1.3207548997250032E-2</v>
      </c>
    </row>
    <row r="169" spans="1:4" x14ac:dyDescent="0.2">
      <c r="A169" t="str">
        <f t="shared" si="8"/>
        <v>day 168</v>
      </c>
      <c r="B169">
        <f t="shared" ca="1" si="9"/>
        <v>-7.9222788153124682E-4</v>
      </c>
      <c r="C169">
        <f t="shared" ca="1" si="10"/>
        <v>1.3654755443583573</v>
      </c>
      <c r="D169">
        <f t="shared" ca="1" si="11"/>
        <v>-1.0817677977897474E-3</v>
      </c>
    </row>
    <row r="170" spans="1:4" x14ac:dyDescent="0.2">
      <c r="A170" t="str">
        <f t="shared" si="8"/>
        <v>day 169</v>
      </c>
      <c r="B170">
        <f t="shared" ca="1" si="9"/>
        <v>7.9672346234634962E-3</v>
      </c>
      <c r="C170">
        <f t="shared" ca="1" si="10"/>
        <v>1.2005233413106537</v>
      </c>
      <c r="D170">
        <f t="shared" ca="1" si="11"/>
        <v>9.5648511311663253E-3</v>
      </c>
    </row>
    <row r="171" spans="1:4" x14ac:dyDescent="0.2">
      <c r="A171" t="str">
        <f t="shared" si="8"/>
        <v>day 170</v>
      </c>
      <c r="B171">
        <f t="shared" ca="1" si="9"/>
        <v>1.2952845790012289E-2</v>
      </c>
      <c r="C171">
        <f t="shared" ca="1" si="10"/>
        <v>1.3453159195566164</v>
      </c>
      <c r="D171">
        <f t="shared" ca="1" si="11"/>
        <v>1.742566964486543E-2</v>
      </c>
    </row>
    <row r="172" spans="1:4" x14ac:dyDescent="0.2">
      <c r="A172" t="str">
        <f t="shared" si="8"/>
        <v>day 171</v>
      </c>
      <c r="B172">
        <f t="shared" ca="1" si="9"/>
        <v>-7.1524371973251451E-3</v>
      </c>
      <c r="C172">
        <f t="shared" ca="1" si="10"/>
        <v>1.3233810816744909</v>
      </c>
      <c r="D172">
        <f t="shared" ca="1" si="11"/>
        <v>-9.4654000748050152E-3</v>
      </c>
    </row>
    <row r="173" spans="1:4" x14ac:dyDescent="0.2">
      <c r="A173" t="str">
        <f t="shared" si="8"/>
        <v>day 172</v>
      </c>
      <c r="B173">
        <f t="shared" ca="1" si="9"/>
        <v>-8.1454990053049792E-3</v>
      </c>
      <c r="C173">
        <f t="shared" ca="1" si="10"/>
        <v>1.0112217991705492</v>
      </c>
      <c r="D173">
        <f t="shared" ca="1" si="11"/>
        <v>-8.2369061592864196E-3</v>
      </c>
    </row>
    <row r="174" spans="1:4" x14ac:dyDescent="0.2">
      <c r="A174" t="str">
        <f t="shared" si="8"/>
        <v>day 173</v>
      </c>
      <c r="B174">
        <f t="shared" ca="1" si="9"/>
        <v>7.4892804577283267E-3</v>
      </c>
      <c r="C174">
        <f t="shared" ca="1" si="10"/>
        <v>1.1759577914952069</v>
      </c>
      <c r="D174">
        <f t="shared" ca="1" si="11"/>
        <v>8.8070777069584154E-3</v>
      </c>
    </row>
    <row r="175" spans="1:4" x14ac:dyDescent="0.2">
      <c r="A175" t="str">
        <f t="shared" si="8"/>
        <v>day 174</v>
      </c>
      <c r="B175">
        <f t="shared" ca="1" si="9"/>
        <v>-9.4221832217010731E-4</v>
      </c>
      <c r="C175">
        <f t="shared" ca="1" si="10"/>
        <v>1.3198480343241257</v>
      </c>
      <c r="D175">
        <f t="shared" ca="1" si="11"/>
        <v>-1.243585000420392E-3</v>
      </c>
    </row>
    <row r="176" spans="1:4" x14ac:dyDescent="0.2">
      <c r="A176" t="str">
        <f t="shared" si="8"/>
        <v>day 175</v>
      </c>
      <c r="B176">
        <f t="shared" ca="1" si="9"/>
        <v>-2.6347837169025988E-3</v>
      </c>
      <c r="C176">
        <f t="shared" ca="1" si="10"/>
        <v>1.001324080090688</v>
      </c>
      <c r="D176">
        <f t="shared" ca="1" si="11"/>
        <v>-2.6382723815654183E-3</v>
      </c>
    </row>
    <row r="177" spans="1:4" x14ac:dyDescent="0.2">
      <c r="A177" t="str">
        <f t="shared" si="8"/>
        <v>day 176</v>
      </c>
      <c r="B177">
        <f t="shared" ca="1" si="9"/>
        <v>5.3620815412754952E-3</v>
      </c>
      <c r="C177">
        <f t="shared" ca="1" si="10"/>
        <v>1.3342481594097975</v>
      </c>
      <c r="D177">
        <f t="shared" ca="1" si="11"/>
        <v>7.1543474270520796E-3</v>
      </c>
    </row>
    <row r="178" spans="1:4" x14ac:dyDescent="0.2">
      <c r="A178" t="str">
        <f t="shared" si="8"/>
        <v>day 177</v>
      </c>
      <c r="B178">
        <f t="shared" ca="1" si="9"/>
        <v>3.4816710168080042E-4</v>
      </c>
      <c r="C178">
        <f t="shared" ca="1" si="10"/>
        <v>1.2467505585500678</v>
      </c>
      <c r="D178">
        <f t="shared" ca="1" si="11"/>
        <v>4.3407752848929616E-4</v>
      </c>
    </row>
    <row r="179" spans="1:4" x14ac:dyDescent="0.2">
      <c r="A179" t="str">
        <f t="shared" si="8"/>
        <v>day 178</v>
      </c>
      <c r="B179">
        <f t="shared" ca="1" si="9"/>
        <v>1.0256004845892074E-2</v>
      </c>
      <c r="C179">
        <f t="shared" ca="1" si="10"/>
        <v>1.5878586145998839</v>
      </c>
      <c r="D179">
        <f t="shared" ca="1" si="11"/>
        <v>1.6285085645927885E-2</v>
      </c>
    </row>
    <row r="180" spans="1:4" x14ac:dyDescent="0.2">
      <c r="A180" t="str">
        <f t="shared" si="8"/>
        <v>day 179</v>
      </c>
      <c r="B180">
        <f t="shared" ca="1" si="9"/>
        <v>5.7889398097458128E-3</v>
      </c>
      <c r="C180">
        <f t="shared" ca="1" si="10"/>
        <v>1.4278070289109421</v>
      </c>
      <c r="D180">
        <f t="shared" ca="1" si="11"/>
        <v>8.2654889502974428E-3</v>
      </c>
    </row>
    <row r="181" spans="1:4" x14ac:dyDescent="0.2">
      <c r="A181" t="str">
        <f t="shared" si="8"/>
        <v>day 180</v>
      </c>
      <c r="B181">
        <f t="shared" ca="1" si="9"/>
        <v>8.6642238324885334E-3</v>
      </c>
      <c r="C181">
        <f t="shared" ca="1" si="10"/>
        <v>1.2552271821729553</v>
      </c>
      <c r="D181">
        <f t="shared" ca="1" si="11"/>
        <v>1.0875569266970345E-2</v>
      </c>
    </row>
    <row r="182" spans="1:4" x14ac:dyDescent="0.2">
      <c r="A182" t="str">
        <f t="shared" si="8"/>
        <v>day 181</v>
      </c>
      <c r="B182">
        <f t="shared" ca="1" si="9"/>
        <v>-1.1575164197283371E-2</v>
      </c>
      <c r="C182">
        <f t="shared" ca="1" si="10"/>
        <v>1.0747889044427741</v>
      </c>
      <c r="D182">
        <f t="shared" ca="1" si="11"/>
        <v>-1.2440858046343416E-2</v>
      </c>
    </row>
    <row r="183" spans="1:4" x14ac:dyDescent="0.2">
      <c r="A183" t="str">
        <f t="shared" si="8"/>
        <v>day 182</v>
      </c>
      <c r="B183">
        <f t="shared" ca="1" si="9"/>
        <v>1.8201109178045707E-2</v>
      </c>
      <c r="C183">
        <f t="shared" ca="1" si="10"/>
        <v>1.4460319530515833</v>
      </c>
      <c r="D183">
        <f t="shared" ca="1" si="11"/>
        <v>2.6319385452434532E-2</v>
      </c>
    </row>
    <row r="184" spans="1:4" x14ac:dyDescent="0.2">
      <c r="A184" t="str">
        <f t="shared" si="8"/>
        <v>day 183</v>
      </c>
      <c r="B184">
        <f t="shared" ca="1" si="9"/>
        <v>2.9754018503213272E-3</v>
      </c>
      <c r="C184">
        <f t="shared" ca="1" si="10"/>
        <v>1.4393683417381757</v>
      </c>
      <c r="D184">
        <f t="shared" ca="1" si="11"/>
        <v>4.2826992273017088E-3</v>
      </c>
    </row>
    <row r="185" spans="1:4" x14ac:dyDescent="0.2">
      <c r="A185" t="str">
        <f t="shared" si="8"/>
        <v>day 184</v>
      </c>
      <c r="B185">
        <f t="shared" ca="1" si="9"/>
        <v>-1.4985915726867374E-2</v>
      </c>
      <c r="C185">
        <f t="shared" ca="1" si="10"/>
        <v>1.3764636530161976</v>
      </c>
      <c r="D185">
        <f t="shared" ca="1" si="11"/>
        <v>-2.0627568305196752E-2</v>
      </c>
    </row>
    <row r="186" spans="1:4" x14ac:dyDescent="0.2">
      <c r="A186" t="str">
        <f t="shared" si="8"/>
        <v>day 185</v>
      </c>
      <c r="B186">
        <f t="shared" ca="1" si="9"/>
        <v>1.2952860859529467E-2</v>
      </c>
      <c r="C186">
        <f t="shared" ca="1" si="10"/>
        <v>1.1236320282679999</v>
      </c>
      <c r="D186">
        <f t="shared" ca="1" si="11"/>
        <v>1.4554249319466283E-2</v>
      </c>
    </row>
    <row r="187" spans="1:4" x14ac:dyDescent="0.2">
      <c r="A187" t="str">
        <f t="shared" si="8"/>
        <v>day 186</v>
      </c>
      <c r="B187">
        <f t="shared" ca="1" si="9"/>
        <v>1.3310421273321747E-2</v>
      </c>
      <c r="C187">
        <f t="shared" ca="1" si="10"/>
        <v>1.7006146621639444</v>
      </c>
      <c r="D187">
        <f t="shared" ca="1" si="11"/>
        <v>2.263589757698984E-2</v>
      </c>
    </row>
    <row r="188" spans="1:4" x14ac:dyDescent="0.2">
      <c r="A188" t="str">
        <f t="shared" si="8"/>
        <v>day 187</v>
      </c>
      <c r="B188">
        <f t="shared" ca="1" si="9"/>
        <v>-1.0734197215422859E-2</v>
      </c>
      <c r="C188">
        <f t="shared" ca="1" si="10"/>
        <v>1.2442625662735975</v>
      </c>
      <c r="D188">
        <f t="shared" ca="1" si="11"/>
        <v>-1.3356159774148951E-2</v>
      </c>
    </row>
    <row r="189" spans="1:4" x14ac:dyDescent="0.2">
      <c r="A189" t="str">
        <f t="shared" si="8"/>
        <v>day 188</v>
      </c>
      <c r="B189">
        <f t="shared" ca="1" si="9"/>
        <v>7.5978284603731693E-3</v>
      </c>
      <c r="C189">
        <f t="shared" ca="1" si="10"/>
        <v>1.0944241920788209</v>
      </c>
      <c r="D189">
        <f t="shared" ca="1" si="11"/>
        <v>8.3152472742973778E-3</v>
      </c>
    </row>
    <row r="190" spans="1:4" x14ac:dyDescent="0.2">
      <c r="A190" t="str">
        <f t="shared" si="8"/>
        <v>day 189</v>
      </c>
      <c r="B190">
        <f t="shared" ca="1" si="9"/>
        <v>-2.0262271208879516E-2</v>
      </c>
      <c r="C190">
        <f t="shared" ca="1" si="10"/>
        <v>1.3332720748458211</v>
      </c>
      <c r="D190">
        <f t="shared" ca="1" si="11"/>
        <v>-2.7015120375751538E-2</v>
      </c>
    </row>
    <row r="191" spans="1:4" x14ac:dyDescent="0.2">
      <c r="A191" t="str">
        <f t="shared" si="8"/>
        <v>day 190</v>
      </c>
      <c r="B191">
        <f t="shared" ca="1" si="9"/>
        <v>1.1906527573129769E-2</v>
      </c>
      <c r="C191">
        <f t="shared" ca="1" si="10"/>
        <v>1.1252963166755374</v>
      </c>
      <c r="D191">
        <f t="shared" ca="1" si="11"/>
        <v>1.3398371622438655E-2</v>
      </c>
    </row>
    <row r="192" spans="1:4" x14ac:dyDescent="0.2">
      <c r="A192" t="str">
        <f t="shared" si="8"/>
        <v>day 191</v>
      </c>
      <c r="B192">
        <f t="shared" ca="1" si="9"/>
        <v>-1.2651108863316043E-3</v>
      </c>
      <c r="C192">
        <f t="shared" ca="1" si="10"/>
        <v>1.5735588267657756</v>
      </c>
      <c r="D192">
        <f t="shared" ca="1" si="11"/>
        <v>-1.9907264020245698E-3</v>
      </c>
    </row>
    <row r="193" spans="1:4" x14ac:dyDescent="0.2">
      <c r="A193" t="str">
        <f t="shared" si="8"/>
        <v>day 192</v>
      </c>
      <c r="B193">
        <f t="shared" ca="1" si="9"/>
        <v>-9.9533655059889144E-3</v>
      </c>
      <c r="C193">
        <f t="shared" ca="1" si="10"/>
        <v>1.5617181089453587</v>
      </c>
      <c r="D193">
        <f t="shared" ca="1" si="11"/>
        <v>-1.5544351155654971E-2</v>
      </c>
    </row>
    <row r="194" spans="1:4" x14ac:dyDescent="0.2">
      <c r="A194" t="str">
        <f t="shared" si="8"/>
        <v>day 193</v>
      </c>
      <c r="B194">
        <f t="shared" ca="1" si="9"/>
        <v>-7.98545755207687E-3</v>
      </c>
      <c r="C194">
        <f t="shared" ca="1" si="10"/>
        <v>1.8823508967475924</v>
      </c>
      <c r="D194">
        <f t="shared" ca="1" si="11"/>
        <v>-1.503143318409173E-2</v>
      </c>
    </row>
    <row r="195" spans="1:4" x14ac:dyDescent="0.2">
      <c r="A195" t="str">
        <f t="shared" ref="A195:A258" si="12">+IF(ROW()&lt;251,"day "&amp;ROW()-1,"")</f>
        <v>day 194</v>
      </c>
      <c r="B195">
        <f t="shared" ref="B195:B258" ca="1" si="13">+_xlfn.NORM.INV(RAND(),0.004,0.01)</f>
        <v>8.3137242851825891E-3</v>
      </c>
      <c r="C195">
        <f t="shared" ref="C195:C258" ca="1" si="14">1+0.5*ABS(_xlfn.NORM.INV(RAND(),0,0.8))</f>
        <v>1.252743521052972</v>
      </c>
      <c r="D195">
        <f t="shared" ref="D195:D258" ca="1" si="15">+C195*B195</f>
        <v>1.0414964234083239E-2</v>
      </c>
    </row>
    <row r="196" spans="1:4" x14ac:dyDescent="0.2">
      <c r="A196" t="str">
        <f t="shared" si="12"/>
        <v>day 195</v>
      </c>
      <c r="B196">
        <f t="shared" ca="1" si="13"/>
        <v>1.1640889592186931E-2</v>
      </c>
      <c r="C196">
        <f t="shared" ca="1" si="14"/>
        <v>1.0542736621194584</v>
      </c>
      <c r="D196">
        <f t="shared" ca="1" si="15"/>
        <v>1.2272683300683205E-2</v>
      </c>
    </row>
    <row r="197" spans="1:4" x14ac:dyDescent="0.2">
      <c r="A197" t="str">
        <f t="shared" si="12"/>
        <v>day 196</v>
      </c>
      <c r="B197">
        <f t="shared" ca="1" si="13"/>
        <v>-1.0294479265272289E-2</v>
      </c>
      <c r="C197">
        <f t="shared" ca="1" si="14"/>
        <v>1.4133332636187408</v>
      </c>
      <c r="D197">
        <f t="shared" ca="1" si="15"/>
        <v>-1.454952997724274E-2</v>
      </c>
    </row>
    <row r="198" spans="1:4" x14ac:dyDescent="0.2">
      <c r="A198" t="str">
        <f t="shared" si="12"/>
        <v>day 197</v>
      </c>
      <c r="B198">
        <f t="shared" ca="1" si="13"/>
        <v>5.2619116273259145E-3</v>
      </c>
      <c r="C198">
        <f t="shared" ca="1" si="14"/>
        <v>1.4651000620427723</v>
      </c>
      <c r="D198">
        <f t="shared" ca="1" si="15"/>
        <v>7.7092270516587822E-3</v>
      </c>
    </row>
    <row r="199" spans="1:4" x14ac:dyDescent="0.2">
      <c r="A199" t="str">
        <f t="shared" si="12"/>
        <v>day 198</v>
      </c>
      <c r="B199">
        <f t="shared" ca="1" si="13"/>
        <v>1.4601364656779759E-2</v>
      </c>
      <c r="C199">
        <f t="shared" ca="1" si="14"/>
        <v>1.4647538841370062</v>
      </c>
      <c r="D199">
        <f t="shared" ca="1" si="15"/>
        <v>2.1387405594718956E-2</v>
      </c>
    </row>
    <row r="200" spans="1:4" x14ac:dyDescent="0.2">
      <c r="A200" t="str">
        <f t="shared" si="12"/>
        <v>day 199</v>
      </c>
      <c r="B200">
        <f t="shared" ca="1" si="13"/>
        <v>-1.4977513970030288E-3</v>
      </c>
      <c r="C200">
        <f t="shared" ca="1" si="14"/>
        <v>1.0915514418450856</v>
      </c>
      <c r="D200">
        <f t="shared" ca="1" si="15"/>
        <v>-1.6348726969241472E-3</v>
      </c>
    </row>
    <row r="201" spans="1:4" x14ac:dyDescent="0.2">
      <c r="A201" t="str">
        <f t="shared" si="12"/>
        <v>day 200</v>
      </c>
      <c r="B201">
        <f t="shared" ca="1" si="13"/>
        <v>-1.2302744053626601E-2</v>
      </c>
      <c r="C201">
        <f t="shared" ca="1" si="14"/>
        <v>1.0547153897878412</v>
      </c>
      <c r="D201">
        <f t="shared" ca="1" si="15"/>
        <v>-1.2975893489980826E-2</v>
      </c>
    </row>
    <row r="202" spans="1:4" x14ac:dyDescent="0.2">
      <c r="A202" t="str">
        <f t="shared" si="12"/>
        <v>day 201</v>
      </c>
      <c r="B202">
        <f t="shared" ca="1" si="13"/>
        <v>5.4171297393014262E-3</v>
      </c>
      <c r="C202">
        <f t="shared" ca="1" si="14"/>
        <v>1.1511504556503911</v>
      </c>
      <c r="D202">
        <f t="shared" ca="1" si="15"/>
        <v>6.2359313677141214E-3</v>
      </c>
    </row>
    <row r="203" spans="1:4" x14ac:dyDescent="0.2">
      <c r="A203" t="str">
        <f t="shared" si="12"/>
        <v>day 202</v>
      </c>
      <c r="B203">
        <f t="shared" ca="1" si="13"/>
        <v>1.2568519815558963E-2</v>
      </c>
      <c r="C203">
        <f t="shared" ca="1" si="14"/>
        <v>1.0882386507103623</v>
      </c>
      <c r="D203">
        <f t="shared" ca="1" si="15"/>
        <v>1.3677549045510337E-2</v>
      </c>
    </row>
    <row r="204" spans="1:4" x14ac:dyDescent="0.2">
      <c r="A204" t="str">
        <f t="shared" si="12"/>
        <v>day 203</v>
      </c>
      <c r="B204">
        <f t="shared" ca="1" si="13"/>
        <v>-1.3245065413880954E-3</v>
      </c>
      <c r="C204">
        <f t="shared" ca="1" si="14"/>
        <v>1.0859356193176248</v>
      </c>
      <c r="D204">
        <f t="shared" ca="1" si="15"/>
        <v>-1.4383288313125266E-3</v>
      </c>
    </row>
    <row r="205" spans="1:4" x14ac:dyDescent="0.2">
      <c r="A205" t="str">
        <f t="shared" si="12"/>
        <v>day 204</v>
      </c>
      <c r="B205">
        <f t="shared" ca="1" si="13"/>
        <v>6.7788989391985924E-5</v>
      </c>
      <c r="C205">
        <f t="shared" ca="1" si="14"/>
        <v>1.3414912938492138</v>
      </c>
      <c r="D205">
        <f t="shared" ca="1" si="15"/>
        <v>9.0938339088185823E-5</v>
      </c>
    </row>
    <row r="206" spans="1:4" x14ac:dyDescent="0.2">
      <c r="A206" t="str">
        <f t="shared" si="12"/>
        <v>day 205</v>
      </c>
      <c r="B206">
        <f t="shared" ca="1" si="13"/>
        <v>1.4833937638973364E-2</v>
      </c>
      <c r="C206">
        <f t="shared" ca="1" si="14"/>
        <v>1.0221767696762885</v>
      </c>
      <c r="D206">
        <f t="shared" ca="1" si="15"/>
        <v>1.5162906457385302E-2</v>
      </c>
    </row>
    <row r="207" spans="1:4" x14ac:dyDescent="0.2">
      <c r="A207" t="str">
        <f t="shared" si="12"/>
        <v>day 206</v>
      </c>
      <c r="B207">
        <f t="shared" ca="1" si="13"/>
        <v>-8.0642761374274344E-3</v>
      </c>
      <c r="C207">
        <f t="shared" ca="1" si="14"/>
        <v>1.3166548833965852</v>
      </c>
      <c r="D207">
        <f t="shared" ca="1" si="15"/>
        <v>-1.0617868557402384E-2</v>
      </c>
    </row>
    <row r="208" spans="1:4" x14ac:dyDescent="0.2">
      <c r="A208" t="str">
        <f t="shared" si="12"/>
        <v>day 207</v>
      </c>
      <c r="B208">
        <f t="shared" ca="1" si="13"/>
        <v>1.4004209779041137E-2</v>
      </c>
      <c r="C208">
        <f t="shared" ca="1" si="14"/>
        <v>1.5448668178051879</v>
      </c>
      <c r="D208">
        <f t="shared" ca="1" si="15"/>
        <v>2.1634638997223576E-2</v>
      </c>
    </row>
    <row r="209" spans="1:4" x14ac:dyDescent="0.2">
      <c r="A209" t="str">
        <f t="shared" si="12"/>
        <v>day 208</v>
      </c>
      <c r="B209">
        <f t="shared" ca="1" si="13"/>
        <v>-3.5070359881669228E-3</v>
      </c>
      <c r="C209">
        <f t="shared" ca="1" si="14"/>
        <v>1.3563562423313338</v>
      </c>
      <c r="D209">
        <f t="shared" ca="1" si="15"/>
        <v>-4.7567901546308432E-3</v>
      </c>
    </row>
    <row r="210" spans="1:4" x14ac:dyDescent="0.2">
      <c r="A210" t="str">
        <f t="shared" si="12"/>
        <v>day 209</v>
      </c>
      <c r="B210">
        <f t="shared" ca="1" si="13"/>
        <v>-4.6087325988793375E-4</v>
      </c>
      <c r="C210">
        <f t="shared" ca="1" si="14"/>
        <v>1.1182132668792832</v>
      </c>
      <c r="D210">
        <f t="shared" ca="1" si="15"/>
        <v>-5.1535459355659134E-4</v>
      </c>
    </row>
    <row r="211" spans="1:4" x14ac:dyDescent="0.2">
      <c r="A211" t="str">
        <f t="shared" si="12"/>
        <v>day 210</v>
      </c>
      <c r="B211">
        <f t="shared" ca="1" si="13"/>
        <v>6.6515989637443967E-3</v>
      </c>
      <c r="C211">
        <f t="shared" ca="1" si="14"/>
        <v>1.1074640069202959</v>
      </c>
      <c r="D211">
        <f t="shared" ca="1" si="15"/>
        <v>7.3664064408152574E-3</v>
      </c>
    </row>
    <row r="212" spans="1:4" x14ac:dyDescent="0.2">
      <c r="A212" t="str">
        <f t="shared" si="12"/>
        <v>day 211</v>
      </c>
      <c r="B212">
        <f t="shared" ca="1" si="13"/>
        <v>1.3471250930559247E-3</v>
      </c>
      <c r="C212">
        <f t="shared" ca="1" si="14"/>
        <v>1.004604098320435</v>
      </c>
      <c r="D212">
        <f t="shared" ca="1" si="15"/>
        <v>1.3533273894342794E-3</v>
      </c>
    </row>
    <row r="213" spans="1:4" x14ac:dyDescent="0.2">
      <c r="A213" t="str">
        <f t="shared" si="12"/>
        <v>day 212</v>
      </c>
      <c r="B213">
        <f t="shared" ca="1" si="13"/>
        <v>6.3086954024256783E-3</v>
      </c>
      <c r="C213">
        <f t="shared" ca="1" si="14"/>
        <v>1.4741657580792167</v>
      </c>
      <c r="D213">
        <f t="shared" ca="1" si="15"/>
        <v>9.3000627404077191E-3</v>
      </c>
    </row>
    <row r="214" spans="1:4" x14ac:dyDescent="0.2">
      <c r="A214" t="str">
        <f t="shared" si="12"/>
        <v>day 213</v>
      </c>
      <c r="B214">
        <f t="shared" ca="1" si="13"/>
        <v>-3.2043129676790939E-3</v>
      </c>
      <c r="C214">
        <f t="shared" ca="1" si="14"/>
        <v>1.2615174349779328</v>
      </c>
      <c r="D214">
        <f t="shared" ca="1" si="15"/>
        <v>-4.0422966758530583E-3</v>
      </c>
    </row>
    <row r="215" spans="1:4" x14ac:dyDescent="0.2">
      <c r="A215" t="str">
        <f t="shared" si="12"/>
        <v>day 214</v>
      </c>
      <c r="B215">
        <f t="shared" ca="1" si="13"/>
        <v>6.0878610232767486E-3</v>
      </c>
      <c r="C215">
        <f t="shared" ca="1" si="14"/>
        <v>1.5029749976068776</v>
      </c>
      <c r="D215">
        <f t="shared" ca="1" si="15"/>
        <v>9.149902906890375E-3</v>
      </c>
    </row>
    <row r="216" spans="1:4" x14ac:dyDescent="0.2">
      <c r="A216" t="str">
        <f t="shared" si="12"/>
        <v>day 215</v>
      </c>
      <c r="B216">
        <f t="shared" ca="1" si="13"/>
        <v>-2.6186024893418963E-3</v>
      </c>
      <c r="C216">
        <f t="shared" ca="1" si="14"/>
        <v>1.0597571751970585</v>
      </c>
      <c r="D216">
        <f t="shared" ca="1" si="15"/>
        <v>-2.7750827770689534E-3</v>
      </c>
    </row>
    <row r="217" spans="1:4" x14ac:dyDescent="0.2">
      <c r="A217" t="str">
        <f t="shared" si="12"/>
        <v>day 216</v>
      </c>
      <c r="B217">
        <f t="shared" ca="1" si="13"/>
        <v>-5.7664408496876356E-3</v>
      </c>
      <c r="C217">
        <f t="shared" ca="1" si="14"/>
        <v>1.1268633570566753</v>
      </c>
      <c r="D217">
        <f t="shared" ca="1" si="15"/>
        <v>-6.4979908941477562E-3</v>
      </c>
    </row>
    <row r="218" spans="1:4" x14ac:dyDescent="0.2">
      <c r="A218" t="str">
        <f t="shared" si="12"/>
        <v>day 217</v>
      </c>
      <c r="B218">
        <f t="shared" ca="1" si="13"/>
        <v>-3.9336977641272614E-3</v>
      </c>
      <c r="C218">
        <f t="shared" ca="1" si="14"/>
        <v>1.3721591777515014</v>
      </c>
      <c r="D218">
        <f t="shared" ca="1" si="15"/>
        <v>-5.3976594895477825E-3</v>
      </c>
    </row>
    <row r="219" spans="1:4" x14ac:dyDescent="0.2">
      <c r="A219" t="str">
        <f t="shared" si="12"/>
        <v>day 218</v>
      </c>
      <c r="B219">
        <f t="shared" ca="1" si="13"/>
        <v>2.6060847920204855E-3</v>
      </c>
      <c r="C219">
        <f t="shared" ca="1" si="14"/>
        <v>1.065135581730777</v>
      </c>
      <c r="D219">
        <f t="shared" ca="1" si="15"/>
        <v>2.7758336409884708E-3</v>
      </c>
    </row>
    <row r="220" spans="1:4" x14ac:dyDescent="0.2">
      <c r="A220" t="str">
        <f t="shared" si="12"/>
        <v>day 219</v>
      </c>
      <c r="B220">
        <f t="shared" ca="1" si="13"/>
        <v>-1.0860633907387547E-3</v>
      </c>
      <c r="C220">
        <f t="shared" ca="1" si="14"/>
        <v>1.3216552248716766</v>
      </c>
      <c r="D220">
        <f t="shared" ca="1" si="15"/>
        <v>-1.4354013549117244E-3</v>
      </c>
    </row>
    <row r="221" spans="1:4" x14ac:dyDescent="0.2">
      <c r="A221" t="str">
        <f t="shared" si="12"/>
        <v>day 220</v>
      </c>
      <c r="B221">
        <f t="shared" ca="1" si="13"/>
        <v>-5.5315921768503817E-3</v>
      </c>
      <c r="C221">
        <f t="shared" ca="1" si="14"/>
        <v>1.3904202043903939</v>
      </c>
      <c r="D221">
        <f t="shared" ca="1" si="15"/>
        <v>-7.6912375251406116E-3</v>
      </c>
    </row>
    <row r="222" spans="1:4" x14ac:dyDescent="0.2">
      <c r="A222" t="str">
        <f t="shared" si="12"/>
        <v>day 221</v>
      </c>
      <c r="B222">
        <f t="shared" ca="1" si="13"/>
        <v>8.3215977397065564E-3</v>
      </c>
      <c r="C222">
        <f t="shared" ca="1" si="14"/>
        <v>1.3718441318924586</v>
      </c>
      <c r="D222">
        <f t="shared" ca="1" si="15"/>
        <v>1.1415935027185986E-2</v>
      </c>
    </row>
    <row r="223" spans="1:4" x14ac:dyDescent="0.2">
      <c r="A223" t="str">
        <f t="shared" si="12"/>
        <v>day 222</v>
      </c>
      <c r="B223">
        <f t="shared" ca="1" si="13"/>
        <v>-1.0646167653974295E-3</v>
      </c>
      <c r="C223">
        <f t="shared" ca="1" si="14"/>
        <v>1.6593863906990343</v>
      </c>
      <c r="D223">
        <f t="shared" ca="1" si="15"/>
        <v>-1.7666105718105211E-3</v>
      </c>
    </row>
    <row r="224" spans="1:4" x14ac:dyDescent="0.2">
      <c r="A224" t="str">
        <f t="shared" si="12"/>
        <v>day 223</v>
      </c>
      <c r="B224">
        <f t="shared" ca="1" si="13"/>
        <v>-4.7706862770271526E-3</v>
      </c>
      <c r="C224">
        <f t="shared" ca="1" si="14"/>
        <v>1.1992641648952869</v>
      </c>
      <c r="D224">
        <f t="shared" ca="1" si="15"/>
        <v>-5.7213130939963736E-3</v>
      </c>
    </row>
    <row r="225" spans="1:4" x14ac:dyDescent="0.2">
      <c r="A225" t="str">
        <f t="shared" si="12"/>
        <v>day 224</v>
      </c>
      <c r="B225">
        <f t="shared" ca="1" si="13"/>
        <v>7.1009689880587937E-3</v>
      </c>
      <c r="C225">
        <f t="shared" ca="1" si="14"/>
        <v>1.5050974463308946</v>
      </c>
      <c r="D225">
        <f t="shared" ca="1" si="15"/>
        <v>1.0687650290402168E-2</v>
      </c>
    </row>
    <row r="226" spans="1:4" x14ac:dyDescent="0.2">
      <c r="A226" t="str">
        <f t="shared" si="12"/>
        <v>day 225</v>
      </c>
      <c r="B226">
        <f t="shared" ca="1" si="13"/>
        <v>7.6414921692474751E-3</v>
      </c>
      <c r="C226">
        <f t="shared" ca="1" si="14"/>
        <v>1.3603736604475809</v>
      </c>
      <c r="D226">
        <f t="shared" ca="1" si="15"/>
        <v>1.0395284673560714E-2</v>
      </c>
    </row>
    <row r="227" spans="1:4" x14ac:dyDescent="0.2">
      <c r="A227" t="str">
        <f t="shared" si="12"/>
        <v>day 226</v>
      </c>
      <c r="B227">
        <f t="shared" ca="1" si="13"/>
        <v>7.1354169324669512E-4</v>
      </c>
      <c r="C227">
        <f t="shared" ca="1" si="14"/>
        <v>1.3358214099404302</v>
      </c>
      <c r="D227">
        <f t="shared" ca="1" si="15"/>
        <v>9.531642707240822E-4</v>
      </c>
    </row>
    <row r="228" spans="1:4" x14ac:dyDescent="0.2">
      <c r="A228" t="str">
        <f t="shared" si="12"/>
        <v>day 227</v>
      </c>
      <c r="B228">
        <f t="shared" ca="1" si="13"/>
        <v>1.3132024197308684E-2</v>
      </c>
      <c r="C228">
        <f t="shared" ca="1" si="14"/>
        <v>1.6286285421055089</v>
      </c>
      <c r="D228">
        <f t="shared" ca="1" si="15"/>
        <v>2.1387189423357107E-2</v>
      </c>
    </row>
    <row r="229" spans="1:4" x14ac:dyDescent="0.2">
      <c r="A229" t="str">
        <f t="shared" si="12"/>
        <v>day 228</v>
      </c>
      <c r="B229">
        <f t="shared" ca="1" si="13"/>
        <v>-2.0377803868503169E-3</v>
      </c>
      <c r="C229">
        <f t="shared" ca="1" si="14"/>
        <v>1.2505930583671157</v>
      </c>
      <c r="D229">
        <f t="shared" ca="1" si="15"/>
        <v>-2.5484340062716616E-3</v>
      </c>
    </row>
    <row r="230" spans="1:4" x14ac:dyDescent="0.2">
      <c r="A230" t="str">
        <f t="shared" si="12"/>
        <v>day 229</v>
      </c>
      <c r="B230">
        <f t="shared" ca="1" si="13"/>
        <v>-7.7365993248700703E-3</v>
      </c>
      <c r="C230">
        <f t="shared" ca="1" si="14"/>
        <v>1.2610804753693723</v>
      </c>
      <c r="D230">
        <f t="shared" ca="1" si="15"/>
        <v>-9.7564743543495126E-3</v>
      </c>
    </row>
    <row r="231" spans="1:4" x14ac:dyDescent="0.2">
      <c r="A231" t="str">
        <f t="shared" si="12"/>
        <v>day 230</v>
      </c>
      <c r="B231">
        <f t="shared" ca="1" si="13"/>
        <v>1.2210496941280388E-2</v>
      </c>
      <c r="C231">
        <f t="shared" ca="1" si="14"/>
        <v>1.0357791532110785</v>
      </c>
      <c r="D231">
        <f t="shared" ca="1" si="15"/>
        <v>1.2647378182125864E-2</v>
      </c>
    </row>
    <row r="232" spans="1:4" x14ac:dyDescent="0.2">
      <c r="A232" t="str">
        <f t="shared" si="12"/>
        <v>day 231</v>
      </c>
      <c r="B232">
        <f t="shared" ca="1" si="13"/>
        <v>1.6006308190363926E-2</v>
      </c>
      <c r="C232">
        <f t="shared" ca="1" si="14"/>
        <v>1.4107418159231373</v>
      </c>
      <c r="D232">
        <f t="shared" ca="1" si="15"/>
        <v>2.2580768282699393E-2</v>
      </c>
    </row>
    <row r="233" spans="1:4" x14ac:dyDescent="0.2">
      <c r="A233" t="str">
        <f t="shared" si="12"/>
        <v>day 232</v>
      </c>
      <c r="B233">
        <f t="shared" ca="1" si="13"/>
        <v>1.5777673564294291E-2</v>
      </c>
      <c r="C233">
        <f t="shared" ca="1" si="14"/>
        <v>1.4396014834402839</v>
      </c>
      <c r="D233">
        <f t="shared" ca="1" si="15"/>
        <v>2.2713562268394612E-2</v>
      </c>
    </row>
    <row r="234" spans="1:4" x14ac:dyDescent="0.2">
      <c r="A234" t="str">
        <f t="shared" si="12"/>
        <v>day 233</v>
      </c>
      <c r="B234">
        <f t="shared" ca="1" si="13"/>
        <v>9.6239329271065911E-3</v>
      </c>
      <c r="C234">
        <f t="shared" ca="1" si="14"/>
        <v>1.2159369121101669</v>
      </c>
      <c r="D234">
        <f t="shared" ca="1" si="15"/>
        <v>1.1702095285741348E-2</v>
      </c>
    </row>
    <row r="235" spans="1:4" x14ac:dyDescent="0.2">
      <c r="A235" t="str">
        <f t="shared" si="12"/>
        <v>day 234</v>
      </c>
      <c r="B235">
        <f t="shared" ca="1" si="13"/>
        <v>-1.3077233279271561E-4</v>
      </c>
      <c r="C235">
        <f t="shared" ca="1" si="14"/>
        <v>1.306198196997715</v>
      </c>
      <c r="D235">
        <f t="shared" ca="1" si="15"/>
        <v>-1.7081458531103028E-4</v>
      </c>
    </row>
    <row r="236" spans="1:4" x14ac:dyDescent="0.2">
      <c r="A236" t="str">
        <f t="shared" si="12"/>
        <v>day 235</v>
      </c>
      <c r="B236">
        <f t="shared" ca="1" si="13"/>
        <v>-3.6763575755636687E-3</v>
      </c>
      <c r="C236">
        <f t="shared" ca="1" si="14"/>
        <v>1.5138438345074068</v>
      </c>
      <c r="D236">
        <f t="shared" ca="1" si="15"/>
        <v>-5.5654312492116574E-3</v>
      </c>
    </row>
    <row r="237" spans="1:4" x14ac:dyDescent="0.2">
      <c r="A237" t="str">
        <f t="shared" si="12"/>
        <v>day 236</v>
      </c>
      <c r="B237">
        <f t="shared" ca="1" si="13"/>
        <v>8.5273974235630969E-3</v>
      </c>
      <c r="C237">
        <f t="shared" ca="1" si="14"/>
        <v>1.1439223262802229</v>
      </c>
      <c r="D237">
        <f t="shared" ca="1" si="15"/>
        <v>9.7546802978782775E-3</v>
      </c>
    </row>
    <row r="238" spans="1:4" x14ac:dyDescent="0.2">
      <c r="A238" t="str">
        <f t="shared" si="12"/>
        <v>day 237</v>
      </c>
      <c r="B238">
        <f t="shared" ca="1" si="13"/>
        <v>8.6671137621918762E-3</v>
      </c>
      <c r="C238">
        <f t="shared" ca="1" si="14"/>
        <v>1.4573628319859071</v>
      </c>
      <c r="D238">
        <f t="shared" ca="1" si="15"/>
        <v>1.2631129457611983E-2</v>
      </c>
    </row>
    <row r="239" spans="1:4" x14ac:dyDescent="0.2">
      <c r="A239" t="str">
        <f t="shared" si="12"/>
        <v>day 238</v>
      </c>
      <c r="B239">
        <f t="shared" ca="1" si="13"/>
        <v>1.2586012075672259E-2</v>
      </c>
      <c r="C239">
        <f t="shared" ca="1" si="14"/>
        <v>2.2412126015194347</v>
      </c>
      <c r="D239">
        <f t="shared" ca="1" si="15"/>
        <v>2.8207928866872442E-2</v>
      </c>
    </row>
    <row r="240" spans="1:4" x14ac:dyDescent="0.2">
      <c r="A240" t="str">
        <f t="shared" si="12"/>
        <v>day 239</v>
      </c>
      <c r="B240">
        <f t="shared" ca="1" si="13"/>
        <v>2.1321888394592928E-2</v>
      </c>
      <c r="C240">
        <f t="shared" ca="1" si="14"/>
        <v>1.3416547210332941</v>
      </c>
      <c r="D240">
        <f t="shared" ca="1" si="15"/>
        <v>2.8606612225950605E-2</v>
      </c>
    </row>
    <row r="241" spans="1:4" x14ac:dyDescent="0.2">
      <c r="A241" t="str">
        <f t="shared" si="12"/>
        <v>day 240</v>
      </c>
      <c r="B241">
        <f t="shared" ca="1" si="13"/>
        <v>1.4588684443970251E-2</v>
      </c>
      <c r="C241">
        <f t="shared" ca="1" si="14"/>
        <v>1.4250190301763273</v>
      </c>
      <c r="D241">
        <f t="shared" ca="1" si="15"/>
        <v>2.078915295789496E-2</v>
      </c>
    </row>
    <row r="242" spans="1:4" x14ac:dyDescent="0.2">
      <c r="A242" t="str">
        <f t="shared" si="12"/>
        <v>day 241</v>
      </c>
      <c r="B242">
        <f t="shared" ca="1" si="13"/>
        <v>1.3858053207444591E-2</v>
      </c>
      <c r="C242">
        <f t="shared" ca="1" si="14"/>
        <v>1.1290286403570249</v>
      </c>
      <c r="D242">
        <f t="shared" ca="1" si="15"/>
        <v>1.5646138970796475E-2</v>
      </c>
    </row>
    <row r="243" spans="1:4" x14ac:dyDescent="0.2">
      <c r="A243" t="str">
        <f t="shared" si="12"/>
        <v>day 242</v>
      </c>
      <c r="B243">
        <f t="shared" ca="1" si="13"/>
        <v>-3.9040365865032692E-3</v>
      </c>
      <c r="C243">
        <f t="shared" ca="1" si="14"/>
        <v>1.3488176151023819</v>
      </c>
      <c r="D243">
        <f t="shared" ca="1" si="15"/>
        <v>-5.2658333178797834E-3</v>
      </c>
    </row>
    <row r="244" spans="1:4" x14ac:dyDescent="0.2">
      <c r="A244" t="str">
        <f t="shared" si="12"/>
        <v>day 243</v>
      </c>
      <c r="B244">
        <f t="shared" ca="1" si="13"/>
        <v>-2.3231411580501411E-2</v>
      </c>
      <c r="C244">
        <f t="shared" ca="1" si="14"/>
        <v>1.0064345894041498</v>
      </c>
      <c r="D244">
        <f t="shared" ca="1" si="15"/>
        <v>-2.3380896175300748E-2</v>
      </c>
    </row>
    <row r="245" spans="1:4" x14ac:dyDescent="0.2">
      <c r="A245" t="str">
        <f t="shared" si="12"/>
        <v>day 244</v>
      </c>
      <c r="B245">
        <f t="shared" ca="1" si="13"/>
        <v>7.7803378513806726E-3</v>
      </c>
      <c r="C245">
        <f t="shared" ca="1" si="14"/>
        <v>1.5391496174887624</v>
      </c>
      <c r="D245">
        <f t="shared" ca="1" si="15"/>
        <v>1.1975104027885902E-2</v>
      </c>
    </row>
    <row r="246" spans="1:4" x14ac:dyDescent="0.2">
      <c r="A246" t="str">
        <f t="shared" si="12"/>
        <v>day 245</v>
      </c>
      <c r="B246">
        <f t="shared" ca="1" si="13"/>
        <v>-5.3827958942435569E-3</v>
      </c>
      <c r="C246">
        <f t="shared" ca="1" si="14"/>
        <v>1.3336751364569279</v>
      </c>
      <c r="D246">
        <f t="shared" ca="1" si="15"/>
        <v>-7.178901048775067E-3</v>
      </c>
    </row>
    <row r="247" spans="1:4" x14ac:dyDescent="0.2">
      <c r="A247" t="str">
        <f t="shared" si="12"/>
        <v>day 246</v>
      </c>
      <c r="B247">
        <f t="shared" ca="1" si="13"/>
        <v>4.7276768492662494E-3</v>
      </c>
      <c r="C247">
        <f t="shared" ca="1" si="14"/>
        <v>1.2393342400627501</v>
      </c>
      <c r="D247">
        <f t="shared" ca="1" si="15"/>
        <v>5.8591717952476436E-3</v>
      </c>
    </row>
    <row r="248" spans="1:4" x14ac:dyDescent="0.2">
      <c r="A248" t="str">
        <f t="shared" si="12"/>
        <v>day 247</v>
      </c>
      <c r="B248">
        <f t="shared" ca="1" si="13"/>
        <v>1.7582184017605175E-2</v>
      </c>
      <c r="C248">
        <f t="shared" ca="1" si="14"/>
        <v>1.1483405586375874</v>
      </c>
      <c r="D248">
        <f t="shared" ca="1" si="15"/>
        <v>2.0190335016845588E-2</v>
      </c>
    </row>
    <row r="249" spans="1:4" x14ac:dyDescent="0.2">
      <c r="A249" t="str">
        <f t="shared" si="12"/>
        <v>day 248</v>
      </c>
      <c r="B249">
        <f t="shared" ca="1" si="13"/>
        <v>9.7222028037112426E-3</v>
      </c>
      <c r="C249">
        <f t="shared" ca="1" si="14"/>
        <v>1.3024813922314467</v>
      </c>
      <c r="D249">
        <f t="shared" ca="1" si="15"/>
        <v>1.2662988243334294E-2</v>
      </c>
    </row>
    <row r="250" spans="1:4" x14ac:dyDescent="0.2">
      <c r="A250" t="str">
        <f t="shared" si="12"/>
        <v>day 249</v>
      </c>
      <c r="B250">
        <f t="shared" ca="1" si="13"/>
        <v>-1.6822316442619877E-3</v>
      </c>
      <c r="C250">
        <f t="shared" ca="1" si="14"/>
        <v>1.1518527798599445</v>
      </c>
      <c r="D250">
        <f t="shared" ca="1" si="15"/>
        <v>-1.9376831958115358E-3</v>
      </c>
    </row>
    <row r="251" spans="1:4" x14ac:dyDescent="0.2">
      <c r="A251" t="str">
        <f t="shared" si="12"/>
        <v/>
      </c>
    </row>
    <row r="252" spans="1:4" x14ac:dyDescent="0.2">
      <c r="A252" t="str">
        <f t="shared" si="12"/>
        <v/>
      </c>
    </row>
    <row r="253" spans="1:4" x14ac:dyDescent="0.2">
      <c r="A253" t="str">
        <f t="shared" si="12"/>
        <v/>
      </c>
    </row>
    <row r="254" spans="1:4" x14ac:dyDescent="0.2">
      <c r="A254" t="str">
        <f t="shared" si="12"/>
        <v/>
      </c>
    </row>
    <row r="255" spans="1:4" x14ac:dyDescent="0.2">
      <c r="A255" t="str">
        <f t="shared" si="12"/>
        <v/>
      </c>
    </row>
    <row r="256" spans="1:4" x14ac:dyDescent="0.2">
      <c r="A256" t="str">
        <f t="shared" si="12"/>
        <v/>
      </c>
    </row>
    <row r="257" spans="1:1" x14ac:dyDescent="0.2">
      <c r="A257" t="str">
        <f t="shared" si="12"/>
        <v/>
      </c>
    </row>
    <row r="258" spans="1:1" x14ac:dyDescent="0.2">
      <c r="A258" t="str">
        <f t="shared" si="12"/>
        <v/>
      </c>
    </row>
    <row r="259" spans="1:1" x14ac:dyDescent="0.2">
      <c r="A259" t="str">
        <f t="shared" ref="A259:A270" si="16">+IF(ROW()&lt;251,"day "&amp;ROW()-1,"")</f>
        <v/>
      </c>
    </row>
    <row r="260" spans="1:1" x14ac:dyDescent="0.2">
      <c r="A260" t="str">
        <f t="shared" si="16"/>
        <v/>
      </c>
    </row>
    <row r="261" spans="1:1" x14ac:dyDescent="0.2">
      <c r="A261" t="str">
        <f t="shared" si="16"/>
        <v/>
      </c>
    </row>
    <row r="262" spans="1:1" x14ac:dyDescent="0.2">
      <c r="A262" t="str">
        <f t="shared" si="16"/>
        <v/>
      </c>
    </row>
    <row r="263" spans="1:1" x14ac:dyDescent="0.2">
      <c r="A263" t="str">
        <f t="shared" si="16"/>
        <v/>
      </c>
    </row>
    <row r="264" spans="1:1" x14ac:dyDescent="0.2">
      <c r="A264" t="str">
        <f t="shared" si="16"/>
        <v/>
      </c>
    </row>
    <row r="265" spans="1:1" x14ac:dyDescent="0.2">
      <c r="A265" t="str">
        <f t="shared" si="16"/>
        <v/>
      </c>
    </row>
    <row r="266" spans="1:1" x14ac:dyDescent="0.2">
      <c r="A266" t="str">
        <f t="shared" si="16"/>
        <v/>
      </c>
    </row>
    <row r="267" spans="1:1" x14ac:dyDescent="0.2">
      <c r="A267" t="str">
        <f t="shared" si="16"/>
        <v/>
      </c>
    </row>
    <row r="268" spans="1:1" x14ac:dyDescent="0.2">
      <c r="A268" t="str">
        <f t="shared" si="16"/>
        <v/>
      </c>
    </row>
    <row r="269" spans="1:1" x14ac:dyDescent="0.2">
      <c r="A269" t="str">
        <f t="shared" si="16"/>
        <v/>
      </c>
    </row>
    <row r="270" spans="1:1" x14ac:dyDescent="0.2">
      <c r="A270" t="str">
        <f t="shared" si="16"/>
        <v/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BDF1-77B6-A94E-BB6C-0331E0EE9B20}">
  <dimension ref="A1:L250"/>
  <sheetViews>
    <sheetView tabSelected="1" workbookViewId="0">
      <selection activeCell="J7" sqref="H7:J7"/>
    </sheetView>
  </sheetViews>
  <sheetFormatPr baseColWidth="10" defaultRowHeight="16" x14ac:dyDescent="0.2"/>
  <cols>
    <col min="1" max="4" width="18" customWidth="1"/>
    <col min="5" max="5" width="22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253</v>
      </c>
    </row>
    <row r="2" spans="1:12" x14ac:dyDescent="0.2">
      <c r="A2" t="s">
        <v>143</v>
      </c>
      <c r="B2">
        <v>2.0809510937915447E-2</v>
      </c>
      <c r="C2">
        <v>1.9811605967761949</v>
      </c>
      <c r="D2">
        <v>4.122698310838132E-2</v>
      </c>
      <c r="E2">
        <f>+D2*-1</f>
        <v>-4.122698310838132E-2</v>
      </c>
    </row>
    <row r="3" spans="1:12" x14ac:dyDescent="0.2">
      <c r="A3" t="s">
        <v>104</v>
      </c>
      <c r="B3">
        <v>2.3573976113395172E-2</v>
      </c>
      <c r="C3">
        <v>1.6437289887573794</v>
      </c>
      <c r="D3">
        <v>3.8749227917861659E-2</v>
      </c>
      <c r="E3">
        <f>+D3*-1</f>
        <v>-3.8749227917861659E-2</v>
      </c>
      <c r="H3" t="s">
        <v>255</v>
      </c>
      <c r="I3" s="2">
        <f>+_xlfn.PERCENTILE.EXC(E2:E251,0.95)</f>
        <v>1.4969255434636928E-2</v>
      </c>
      <c r="J3" s="3">
        <f>+I3*50000000</f>
        <v>748462.77173184638</v>
      </c>
    </row>
    <row r="4" spans="1:12" x14ac:dyDescent="0.2">
      <c r="A4" t="s">
        <v>44</v>
      </c>
      <c r="B4">
        <v>2.7228564128737004E-2</v>
      </c>
      <c r="C4">
        <v>1.4160063088815042</v>
      </c>
      <c r="D4">
        <v>3.8555818588076218E-2</v>
      </c>
      <c r="E4">
        <f>+D4*-1</f>
        <v>-3.8555818588076218E-2</v>
      </c>
      <c r="H4" t="s">
        <v>254</v>
      </c>
      <c r="I4" s="2">
        <f>+_xlfn.PERCENTILE.EXC(E2:E251,0.99)</f>
        <v>9.3167653564591793E-2</v>
      </c>
      <c r="J4" s="3">
        <f>+I4*50000000</f>
        <v>4658382.6782295899</v>
      </c>
    </row>
    <row r="5" spans="1:12" x14ac:dyDescent="0.2">
      <c r="A5" t="s">
        <v>175</v>
      </c>
      <c r="B5">
        <v>2.4759591401105153E-2</v>
      </c>
      <c r="C5">
        <v>1.4725051049760183</v>
      </c>
      <c r="D5">
        <v>3.6458624735247663E-2</v>
      </c>
      <c r="E5">
        <f>+D5*-1</f>
        <v>-3.6458624735247663E-2</v>
      </c>
    </row>
    <row r="6" spans="1:12" x14ac:dyDescent="0.2">
      <c r="A6" t="s">
        <v>27</v>
      </c>
      <c r="B6">
        <v>1.9586536500020759E-2</v>
      </c>
      <c r="C6">
        <v>1.7430032228745957</v>
      </c>
      <c r="D6">
        <v>3.4139396244487086E-2</v>
      </c>
      <c r="E6">
        <f>+D6*-1</f>
        <v>-3.4139396244487086E-2</v>
      </c>
    </row>
    <row r="7" spans="1:12" x14ac:dyDescent="0.2">
      <c r="A7" t="s">
        <v>80</v>
      </c>
      <c r="B7">
        <v>3.0287364261047573E-2</v>
      </c>
      <c r="C7">
        <v>1.0780225162242261</v>
      </c>
      <c r="D7">
        <v>3.2650460630494205E-2</v>
      </c>
      <c r="E7">
        <f>+D7*-1</f>
        <v>-3.2650460630494205E-2</v>
      </c>
      <c r="H7" t="s">
        <v>256</v>
      </c>
      <c r="I7" s="1">
        <f>+AVERAGEIF(E2:E251,"&gt;="&amp;I3)</f>
        <v>4.2384326096071095E-2</v>
      </c>
      <c r="J7" s="3">
        <f>+I7*50000000</f>
        <v>2119216.3048035549</v>
      </c>
      <c r="L7">
        <f>+J7/J3</f>
        <v>2.8314251354144995</v>
      </c>
    </row>
    <row r="8" spans="1:12" x14ac:dyDescent="0.2">
      <c r="A8" t="s">
        <v>127</v>
      </c>
      <c r="B8">
        <v>2.0334350704612186E-2</v>
      </c>
      <c r="C8">
        <v>1.5858181309993755</v>
      </c>
      <c r="D8">
        <v>3.2246582029473933E-2</v>
      </c>
      <c r="E8">
        <f>+D8*-1</f>
        <v>-3.2246582029473933E-2</v>
      </c>
      <c r="H8" t="s">
        <v>257</v>
      </c>
      <c r="I8" s="1">
        <f>+AVERAGEIF(E2:E251,"&gt;="&amp;I4)</f>
        <v>0.10711710399475988</v>
      </c>
      <c r="J8" s="3">
        <f>+I8*50000000</f>
        <v>5355855.199737994</v>
      </c>
      <c r="L8">
        <f>+J8/J4</f>
        <v>1.1497241789018238</v>
      </c>
    </row>
    <row r="9" spans="1:12" x14ac:dyDescent="0.2">
      <c r="A9" t="s">
        <v>213</v>
      </c>
      <c r="B9">
        <v>2.1540506150622387E-2</v>
      </c>
      <c r="C9">
        <v>1.4137709999497783</v>
      </c>
      <c r="D9">
        <v>3.0453342919989763E-2</v>
      </c>
      <c r="E9">
        <f>+D9*-1</f>
        <v>-3.0453342919989763E-2</v>
      </c>
    </row>
    <row r="10" spans="1:12" x14ac:dyDescent="0.2">
      <c r="A10" t="s">
        <v>48</v>
      </c>
      <c r="B10">
        <v>1.8031305871475611E-2</v>
      </c>
      <c r="C10">
        <v>1.6847582361228035</v>
      </c>
      <c r="D10">
        <v>3.0378391075018E-2</v>
      </c>
      <c r="E10">
        <f>+D10*-1</f>
        <v>-3.0378391075018E-2</v>
      </c>
    </row>
    <row r="11" spans="1:12" x14ac:dyDescent="0.2">
      <c r="A11" t="s">
        <v>190</v>
      </c>
      <c r="B11">
        <v>2.0285214153375648E-2</v>
      </c>
      <c r="C11">
        <v>1.3622598666134769</v>
      </c>
      <c r="D11">
        <v>2.7633733126803325E-2</v>
      </c>
      <c r="E11">
        <f>+D11*-1</f>
        <v>-2.7633733126803325E-2</v>
      </c>
    </row>
    <row r="12" spans="1:12" x14ac:dyDescent="0.2">
      <c r="A12" t="s">
        <v>224</v>
      </c>
      <c r="B12">
        <v>1.6877684881548598E-2</v>
      </c>
      <c r="C12">
        <v>1.6124657449170294</v>
      </c>
      <c r="D12">
        <v>2.7214688725001147E-2</v>
      </c>
      <c r="E12">
        <f>+D12*-1</f>
        <v>-2.7214688725001147E-2</v>
      </c>
    </row>
    <row r="13" spans="1:12" x14ac:dyDescent="0.2">
      <c r="A13" t="s">
        <v>66</v>
      </c>
      <c r="B13">
        <v>1.4684882586234462E-2</v>
      </c>
      <c r="C13">
        <v>1.8332518810148182</v>
      </c>
      <c r="D13">
        <v>2.6921088623696077E-2</v>
      </c>
      <c r="E13">
        <f>+D13*-1</f>
        <v>-2.6921088623696077E-2</v>
      </c>
    </row>
    <row r="14" spans="1:12" x14ac:dyDescent="0.2">
      <c r="A14" t="s">
        <v>129</v>
      </c>
      <c r="B14">
        <v>2.0239951486380643E-2</v>
      </c>
      <c r="C14">
        <v>1.328751977774066</v>
      </c>
      <c r="D14">
        <v>2.6893875567579426E-2</v>
      </c>
      <c r="E14">
        <f>+D14*-1</f>
        <v>-2.6893875567579426E-2</v>
      </c>
    </row>
    <row r="15" spans="1:12" x14ac:dyDescent="0.2">
      <c r="A15" t="s">
        <v>229</v>
      </c>
      <c r="B15">
        <v>1.799222586224038E-2</v>
      </c>
      <c r="C15">
        <v>1.4703168677706591</v>
      </c>
      <c r="D15">
        <v>2.6454273173991523E-2</v>
      </c>
      <c r="E15">
        <f>+D15*-1</f>
        <v>-2.6454273173991523E-2</v>
      </c>
    </row>
    <row r="16" spans="1:12" x14ac:dyDescent="0.2">
      <c r="A16" t="s">
        <v>156</v>
      </c>
      <c r="B16">
        <v>1.578796348575089E-2</v>
      </c>
      <c r="C16">
        <v>1.6421766393735839</v>
      </c>
      <c r="D16">
        <v>2.5926624819583251E-2</v>
      </c>
      <c r="E16">
        <f>+D16*-1</f>
        <v>-2.5926624819583251E-2</v>
      </c>
    </row>
    <row r="17" spans="1:5" x14ac:dyDescent="0.2">
      <c r="A17" t="s">
        <v>219</v>
      </c>
      <c r="B17">
        <v>1.8031118308477739E-2</v>
      </c>
      <c r="C17">
        <v>1.3991111406722514</v>
      </c>
      <c r="D17">
        <v>2.5227538504170605E-2</v>
      </c>
      <c r="E17">
        <f>+D17*-1</f>
        <v>-2.5227538504170605E-2</v>
      </c>
    </row>
    <row r="18" spans="1:5" x14ac:dyDescent="0.2">
      <c r="A18" t="s">
        <v>102</v>
      </c>
      <c r="B18">
        <v>1.2442494485657483E-2</v>
      </c>
      <c r="C18">
        <v>2.0205605146107031</v>
      </c>
      <c r="D18">
        <v>2.514081306098092E-2</v>
      </c>
      <c r="E18">
        <f>+D18*-1</f>
        <v>-2.514081306098092E-2</v>
      </c>
    </row>
    <row r="19" spans="1:5" x14ac:dyDescent="0.2">
      <c r="A19" t="s">
        <v>9</v>
      </c>
      <c r="B19">
        <v>1.8895308230770371E-2</v>
      </c>
      <c r="C19">
        <v>1.3157798495316151</v>
      </c>
      <c r="D19">
        <v>2.4862065820736527E-2</v>
      </c>
      <c r="E19">
        <f>+D19*-1</f>
        <v>-2.4862065820736527E-2</v>
      </c>
    </row>
    <row r="20" spans="1:5" x14ac:dyDescent="0.2">
      <c r="A20" t="s">
        <v>103</v>
      </c>
      <c r="B20">
        <v>1.5395106848780312E-2</v>
      </c>
      <c r="C20">
        <v>1.5933977514272675</v>
      </c>
      <c r="D20">
        <v>2.4530528635829076E-2</v>
      </c>
      <c r="E20">
        <f>+D20*-1</f>
        <v>-2.4530528635829076E-2</v>
      </c>
    </row>
    <row r="21" spans="1:5" x14ac:dyDescent="0.2">
      <c r="A21" t="s">
        <v>186</v>
      </c>
      <c r="B21">
        <v>2.0119913041568495E-2</v>
      </c>
      <c r="C21">
        <v>1.2117147667963328</v>
      </c>
      <c r="D21">
        <v>2.4379595739126663E-2</v>
      </c>
      <c r="E21">
        <f>+D21*-1</f>
        <v>-2.4379595739126663E-2</v>
      </c>
    </row>
    <row r="22" spans="1:5" x14ac:dyDescent="0.2">
      <c r="A22" t="s">
        <v>210</v>
      </c>
      <c r="B22">
        <v>2.1398657824393E-2</v>
      </c>
      <c r="C22">
        <v>1.1381340871786176</v>
      </c>
      <c r="D22">
        <v>2.4354541889813112E-2</v>
      </c>
      <c r="E22">
        <f>+D22*-1</f>
        <v>-2.4354541889813112E-2</v>
      </c>
    </row>
    <row r="23" spans="1:5" x14ac:dyDescent="0.2">
      <c r="A23" t="s">
        <v>124</v>
      </c>
      <c r="B23">
        <v>1.6561248563112155E-2</v>
      </c>
      <c r="C23">
        <v>1.4354253246384734</v>
      </c>
      <c r="D23">
        <v>2.3772435595123716E-2</v>
      </c>
      <c r="E23">
        <f>+D23*-1</f>
        <v>-2.3772435595123716E-2</v>
      </c>
    </row>
    <row r="24" spans="1:5" x14ac:dyDescent="0.2">
      <c r="A24" t="s">
        <v>197</v>
      </c>
      <c r="B24">
        <v>1.6766580227628253E-2</v>
      </c>
      <c r="C24">
        <v>1.3689685374637355</v>
      </c>
      <c r="D24">
        <v>2.2952920812484633E-2</v>
      </c>
      <c r="E24">
        <f>+D24*-1</f>
        <v>-2.2952920812484633E-2</v>
      </c>
    </row>
    <row r="25" spans="1:5" x14ac:dyDescent="0.2">
      <c r="A25" t="s">
        <v>169</v>
      </c>
      <c r="B25">
        <v>2.0525442271778958E-2</v>
      </c>
      <c r="C25">
        <v>1.0859340730334237</v>
      </c>
      <c r="D25">
        <v>2.2289277127005333E-2</v>
      </c>
      <c r="E25">
        <f>+D25*-1</f>
        <v>-2.2289277127005333E-2</v>
      </c>
    </row>
    <row r="26" spans="1:5" x14ac:dyDescent="0.2">
      <c r="A26" t="s">
        <v>93</v>
      </c>
      <c r="B26">
        <v>1.7391234460060578E-2</v>
      </c>
      <c r="C26">
        <v>1.2700633921664075</v>
      </c>
      <c r="D26">
        <v>2.208797023230586E-2</v>
      </c>
      <c r="E26">
        <f>+D26*-1</f>
        <v>-2.208797023230586E-2</v>
      </c>
    </row>
    <row r="27" spans="1:5" x14ac:dyDescent="0.2">
      <c r="A27" t="s">
        <v>222</v>
      </c>
      <c r="B27">
        <v>1.6257373430074128E-2</v>
      </c>
      <c r="C27">
        <v>1.333168911965555</v>
      </c>
      <c r="D27">
        <v>2.1673824847189646E-2</v>
      </c>
      <c r="E27">
        <f>+D27*-1</f>
        <v>-2.1673824847189646E-2</v>
      </c>
    </row>
    <row r="28" spans="1:5" x14ac:dyDescent="0.2">
      <c r="A28" t="s">
        <v>31</v>
      </c>
      <c r="B28">
        <v>1.6637057416351443E-2</v>
      </c>
      <c r="C28">
        <v>1.28636287513695</v>
      </c>
      <c r="D28">
        <v>2.1401293011916359E-2</v>
      </c>
      <c r="E28">
        <f>+D28*-1</f>
        <v>-2.1401293011916359E-2</v>
      </c>
    </row>
    <row r="29" spans="1:5" x14ac:dyDescent="0.2">
      <c r="A29" t="s">
        <v>239</v>
      </c>
      <c r="B29">
        <v>1.1379885371564317E-2</v>
      </c>
      <c r="C29">
        <v>1.810723726155776</v>
      </c>
      <c r="D29">
        <v>2.0605828443224547E-2</v>
      </c>
      <c r="E29">
        <f>+D29*-1</f>
        <v>-2.0605828443224547E-2</v>
      </c>
    </row>
    <row r="30" spans="1:5" x14ac:dyDescent="0.2">
      <c r="A30" t="s">
        <v>30</v>
      </c>
      <c r="B30">
        <v>2.0076070392824902E-2</v>
      </c>
      <c r="C30">
        <v>1.0116645752830284</v>
      </c>
      <c r="D30">
        <v>2.0310249227309386E-2</v>
      </c>
      <c r="E30">
        <f>+D30*-1</f>
        <v>-2.0310249227309386E-2</v>
      </c>
    </row>
    <row r="31" spans="1:5" x14ac:dyDescent="0.2">
      <c r="A31" t="s">
        <v>240</v>
      </c>
      <c r="B31">
        <v>1.4507129839953703E-2</v>
      </c>
      <c r="C31">
        <v>1.3721802343265077</v>
      </c>
      <c r="D31">
        <v>1.9906396823192743E-2</v>
      </c>
      <c r="E31">
        <f>+D31*-1</f>
        <v>-1.9906396823192743E-2</v>
      </c>
    </row>
    <row r="32" spans="1:5" x14ac:dyDescent="0.2">
      <c r="A32" t="s">
        <v>144</v>
      </c>
      <c r="B32">
        <v>1.5689482074747858E-2</v>
      </c>
      <c r="C32">
        <v>1.2662113778155233</v>
      </c>
      <c r="D32">
        <v>1.9866200715078441E-2</v>
      </c>
      <c r="E32">
        <f>+D32*-1</f>
        <v>-1.9866200715078441E-2</v>
      </c>
    </row>
    <row r="33" spans="1:5" x14ac:dyDescent="0.2">
      <c r="A33" t="s">
        <v>96</v>
      </c>
      <c r="B33">
        <v>1.1433870457666313E-2</v>
      </c>
      <c r="C33">
        <v>1.6871514645415577</v>
      </c>
      <c r="D33">
        <v>1.9290671288030171E-2</v>
      </c>
      <c r="E33">
        <f>+D33*-1</f>
        <v>-1.9290671288030171E-2</v>
      </c>
    </row>
    <row r="34" spans="1:5" x14ac:dyDescent="0.2">
      <c r="A34" t="s">
        <v>209</v>
      </c>
      <c r="B34">
        <v>1.3983539707366002E-2</v>
      </c>
      <c r="C34">
        <v>1.3770911252339133</v>
      </c>
      <c r="D34">
        <v>1.9256608430369755E-2</v>
      </c>
      <c r="E34">
        <f>+D34*-1</f>
        <v>-1.9256608430369755E-2</v>
      </c>
    </row>
    <row r="35" spans="1:5" x14ac:dyDescent="0.2">
      <c r="A35" t="s">
        <v>63</v>
      </c>
      <c r="B35">
        <v>1.1069889733501034E-2</v>
      </c>
      <c r="C35">
        <v>1.7376344884664996</v>
      </c>
      <c r="D35">
        <v>1.9235422184452625E-2</v>
      </c>
      <c r="E35">
        <f>+D35*-1</f>
        <v>-1.9235422184452625E-2</v>
      </c>
    </row>
    <row r="36" spans="1:5" x14ac:dyDescent="0.2">
      <c r="A36" t="s">
        <v>117</v>
      </c>
      <c r="B36">
        <v>1.695373726632133E-2</v>
      </c>
      <c r="C36">
        <v>1.1283015717026492</v>
      </c>
      <c r="D36">
        <v>1.912892840382413E-2</v>
      </c>
      <c r="E36">
        <f>+D36*-1</f>
        <v>-1.912892840382413E-2</v>
      </c>
    </row>
    <row r="37" spans="1:5" x14ac:dyDescent="0.2">
      <c r="A37" t="s">
        <v>34</v>
      </c>
      <c r="B37">
        <v>1.5247322280467107E-2</v>
      </c>
      <c r="C37">
        <v>1.2525612031541229</v>
      </c>
      <c r="D37">
        <v>1.9098204340500545E-2</v>
      </c>
      <c r="E37">
        <f>+D37*-1</f>
        <v>-1.9098204340500545E-2</v>
      </c>
    </row>
    <row r="38" spans="1:5" x14ac:dyDescent="0.2">
      <c r="A38" t="s">
        <v>159</v>
      </c>
      <c r="B38">
        <v>1.449529119386319E-2</v>
      </c>
      <c r="C38">
        <v>1.3113040460818268</v>
      </c>
      <c r="D38">
        <v>1.9007733991647076E-2</v>
      </c>
      <c r="E38">
        <f>+D38*-1</f>
        <v>-1.9007733991647076E-2</v>
      </c>
    </row>
    <row r="39" spans="1:5" x14ac:dyDescent="0.2">
      <c r="A39" t="s">
        <v>97</v>
      </c>
      <c r="B39">
        <v>1.7589224846591145E-2</v>
      </c>
      <c r="C39">
        <v>1.0796139150880719</v>
      </c>
      <c r="D39">
        <v>1.8989571899992657E-2</v>
      </c>
      <c r="E39">
        <f>+D39*-1</f>
        <v>-1.8989571899992657E-2</v>
      </c>
    </row>
    <row r="40" spans="1:5" x14ac:dyDescent="0.2">
      <c r="A40" t="s">
        <v>141</v>
      </c>
      <c r="B40">
        <v>1.1613115125958116E-2</v>
      </c>
      <c r="C40">
        <v>1.6279821835845856</v>
      </c>
      <c r="D40">
        <v>1.8905944520976471E-2</v>
      </c>
      <c r="E40">
        <f>+D40*-1</f>
        <v>-1.8905944520976471E-2</v>
      </c>
    </row>
    <row r="41" spans="1:5" x14ac:dyDescent="0.2">
      <c r="A41" t="s">
        <v>54</v>
      </c>
      <c r="B41">
        <v>1.5033016771740416E-2</v>
      </c>
      <c r="C41">
        <v>1.2158294335109863</v>
      </c>
      <c r="D41">
        <v>1.8277584265546307E-2</v>
      </c>
      <c r="E41">
        <f>+D41*-1</f>
        <v>-1.8277584265546307E-2</v>
      </c>
    </row>
    <row r="42" spans="1:5" x14ac:dyDescent="0.2">
      <c r="A42" t="s">
        <v>92</v>
      </c>
      <c r="B42">
        <v>1.6709580069790925E-2</v>
      </c>
      <c r="C42">
        <v>1.0592082419950877</v>
      </c>
      <c r="D42">
        <v>1.7698924930199401E-2</v>
      </c>
      <c r="E42">
        <f>+D42*-1</f>
        <v>-1.7698924930199401E-2</v>
      </c>
    </row>
    <row r="43" spans="1:5" x14ac:dyDescent="0.2">
      <c r="A43" t="s">
        <v>111</v>
      </c>
      <c r="B43">
        <v>1.394517309200439E-2</v>
      </c>
      <c r="C43">
        <v>1.2491487280921674</v>
      </c>
      <c r="D43">
        <v>1.7419595230902401E-2</v>
      </c>
      <c r="E43">
        <f>+D43*-1</f>
        <v>-1.7419595230902401E-2</v>
      </c>
    </row>
    <row r="44" spans="1:5" x14ac:dyDescent="0.2">
      <c r="A44" t="s">
        <v>183</v>
      </c>
      <c r="B44">
        <v>1.5300654332091979E-2</v>
      </c>
      <c r="C44">
        <v>1.126239230638159</v>
      </c>
      <c r="D44">
        <v>1.7232197163235687E-2</v>
      </c>
      <c r="E44">
        <f>+D44*-1</f>
        <v>-1.7232197163235687E-2</v>
      </c>
    </row>
    <row r="45" spans="1:5" x14ac:dyDescent="0.2">
      <c r="A45" t="s">
        <v>243</v>
      </c>
      <c r="B45">
        <v>1.045142038898075E-2</v>
      </c>
      <c r="C45">
        <v>1.6248569924418721</v>
      </c>
      <c r="D45">
        <v>1.6982063499984924E-2</v>
      </c>
      <c r="E45">
        <f>+D45*-1</f>
        <v>-1.6982063499984924E-2</v>
      </c>
    </row>
    <row r="46" spans="1:5" x14ac:dyDescent="0.2">
      <c r="A46" t="s">
        <v>86</v>
      </c>
      <c r="B46">
        <v>9.0166680520726156E-3</v>
      </c>
      <c r="C46">
        <v>1.8816160660010832</v>
      </c>
      <c r="D46">
        <v>1.6965907468578525E-2</v>
      </c>
      <c r="E46">
        <f>+D46*-1</f>
        <v>-1.6965907468578525E-2</v>
      </c>
    </row>
    <row r="47" spans="1:5" x14ac:dyDescent="0.2">
      <c r="A47" t="s">
        <v>252</v>
      </c>
      <c r="B47">
        <v>1.1787032515929807E-2</v>
      </c>
      <c r="C47">
        <v>1.4338669314483137</v>
      </c>
      <c r="D47">
        <v>1.6901036144497769E-2</v>
      </c>
      <c r="E47">
        <f>+D47*-1</f>
        <v>-1.6901036144497769E-2</v>
      </c>
    </row>
    <row r="48" spans="1:5" x14ac:dyDescent="0.2">
      <c r="A48" t="s">
        <v>162</v>
      </c>
      <c r="B48">
        <v>1.5695666583814487E-2</v>
      </c>
      <c r="C48">
        <v>1.0670940637342847</v>
      </c>
      <c r="D48">
        <v>1.6748752637941018E-2</v>
      </c>
      <c r="E48">
        <f>+D48*-1</f>
        <v>-1.6748752637941018E-2</v>
      </c>
    </row>
    <row r="49" spans="1:5" x14ac:dyDescent="0.2">
      <c r="A49" t="s">
        <v>84</v>
      </c>
      <c r="B49">
        <v>1.3720145691110288E-2</v>
      </c>
      <c r="C49">
        <v>1.2193506764327495</v>
      </c>
      <c r="D49">
        <v>1.6729668929211204E-2</v>
      </c>
      <c r="E49">
        <f>+D49*-1</f>
        <v>-1.6729668929211204E-2</v>
      </c>
    </row>
    <row r="50" spans="1:5" x14ac:dyDescent="0.2">
      <c r="A50" t="s">
        <v>35</v>
      </c>
      <c r="B50">
        <v>9.6272980653062355E-3</v>
      </c>
      <c r="C50">
        <v>1.7252880285510392</v>
      </c>
      <c r="D50">
        <v>1.6609862099365429E-2</v>
      </c>
      <c r="E50">
        <f>+D50*-1</f>
        <v>-1.6609862099365429E-2</v>
      </c>
    </row>
    <row r="51" spans="1:5" x14ac:dyDescent="0.2">
      <c r="A51" t="s">
        <v>72</v>
      </c>
      <c r="B51">
        <v>1.0182080901075436E-2</v>
      </c>
      <c r="C51">
        <v>1.6079964175174819</v>
      </c>
      <c r="D51">
        <v>1.6372749611802476E-2</v>
      </c>
      <c r="E51">
        <f>+D51*-1</f>
        <v>-1.6372749611802476E-2</v>
      </c>
    </row>
    <row r="52" spans="1:5" x14ac:dyDescent="0.2">
      <c r="A52" t="s">
        <v>70</v>
      </c>
      <c r="B52">
        <v>1.2650717598032215E-2</v>
      </c>
      <c r="C52">
        <v>1.2919477600021618</v>
      </c>
      <c r="D52">
        <v>1.6344066263197649E-2</v>
      </c>
      <c r="E52">
        <f>+D52*-1</f>
        <v>-1.6344066263197649E-2</v>
      </c>
    </row>
    <row r="53" spans="1:5" x14ac:dyDescent="0.2">
      <c r="A53" t="s">
        <v>42</v>
      </c>
      <c r="B53">
        <v>1.2797936629353617E-2</v>
      </c>
      <c r="C53">
        <v>1.252280710263002</v>
      </c>
      <c r="D53">
        <v>1.6026609172107839E-2</v>
      </c>
      <c r="E53">
        <f>+D53*-1</f>
        <v>-1.6026609172107839E-2</v>
      </c>
    </row>
    <row r="54" spans="1:5" x14ac:dyDescent="0.2">
      <c r="A54" t="s">
        <v>146</v>
      </c>
      <c r="B54">
        <v>1.1331353034393633E-2</v>
      </c>
      <c r="C54">
        <v>1.3646190682513231</v>
      </c>
      <c r="D54">
        <v>1.5462980419821042E-2</v>
      </c>
      <c r="E54">
        <f>+D54*-1</f>
        <v>-1.5462980419821042E-2</v>
      </c>
    </row>
    <row r="55" spans="1:5" x14ac:dyDescent="0.2">
      <c r="A55" t="s">
        <v>24</v>
      </c>
      <c r="B55">
        <v>1.3289585050395087E-2</v>
      </c>
      <c r="C55">
        <v>1.1625671963878059</v>
      </c>
      <c r="D55">
        <v>1.5450035633195115E-2</v>
      </c>
      <c r="E55">
        <f>+D55*-1</f>
        <v>-1.5450035633195115E-2</v>
      </c>
    </row>
    <row r="56" spans="1:5" x14ac:dyDescent="0.2">
      <c r="A56" t="s">
        <v>18</v>
      </c>
      <c r="B56">
        <v>1.4722367399721426E-2</v>
      </c>
      <c r="C56">
        <v>1.0388907209143792</v>
      </c>
      <c r="D56">
        <v>1.5294930881462946E-2</v>
      </c>
      <c r="E56">
        <f>+D56*-1</f>
        <v>-1.5294930881462946E-2</v>
      </c>
    </row>
    <row r="57" spans="1:5" x14ac:dyDescent="0.2">
      <c r="A57" t="s">
        <v>189</v>
      </c>
      <c r="B57">
        <v>1.1570062513942889E-2</v>
      </c>
      <c r="C57">
        <v>1.3198256002237545</v>
      </c>
      <c r="D57">
        <v>1.5270464702091036E-2</v>
      </c>
      <c r="E57">
        <f>+D57*-1</f>
        <v>-1.5270464702091036E-2</v>
      </c>
    </row>
    <row r="58" spans="1:5" x14ac:dyDescent="0.2">
      <c r="A58" t="s">
        <v>118</v>
      </c>
      <c r="B58">
        <v>9.8364828995664219E-3</v>
      </c>
      <c r="C58">
        <v>1.5435643497870046</v>
      </c>
      <c r="D58">
        <v>1.5183244331060233E-2</v>
      </c>
      <c r="E58">
        <f>+D58*-1</f>
        <v>-1.5183244331060233E-2</v>
      </c>
    </row>
    <row r="59" spans="1:5" x14ac:dyDescent="0.2">
      <c r="A59" t="s">
        <v>15</v>
      </c>
      <c r="B59">
        <v>1.2560300197190883E-2</v>
      </c>
      <c r="C59">
        <v>1.2039031091967225</v>
      </c>
      <c r="D59">
        <v>1.5121384459842312E-2</v>
      </c>
      <c r="E59">
        <f>+D59*-1</f>
        <v>-1.5121384459842312E-2</v>
      </c>
    </row>
    <row r="60" spans="1:5" x14ac:dyDescent="0.2">
      <c r="A60" t="s">
        <v>247</v>
      </c>
      <c r="B60">
        <v>1.2422623580717846E-2</v>
      </c>
      <c r="C60">
        <v>1.2169661073412481</v>
      </c>
      <c r="D60">
        <v>1.5117911861991793E-2</v>
      </c>
      <c r="E60">
        <f>+D60*-1</f>
        <v>-1.5117911861991793E-2</v>
      </c>
    </row>
    <row r="61" spans="1:5" x14ac:dyDescent="0.2">
      <c r="A61" t="s">
        <v>25</v>
      </c>
      <c r="B61">
        <v>1.2354888250074662E-2</v>
      </c>
      <c r="C61">
        <v>1.2214612710717256</v>
      </c>
      <c r="D61">
        <v>1.5091017505885325E-2</v>
      </c>
      <c r="E61">
        <f>+D61*-1</f>
        <v>-1.5091017505885325E-2</v>
      </c>
    </row>
    <row r="62" spans="1:5" x14ac:dyDescent="0.2">
      <c r="A62" t="s">
        <v>28</v>
      </c>
      <c r="B62">
        <v>1.2354626633007269E-2</v>
      </c>
      <c r="C62">
        <v>1.1978696191732476</v>
      </c>
      <c r="D62">
        <v>1.479923189990808E-2</v>
      </c>
      <c r="E62">
        <f>+D62*-1</f>
        <v>-1.479923189990808E-2</v>
      </c>
    </row>
    <row r="63" spans="1:5" x14ac:dyDescent="0.2">
      <c r="A63" t="s">
        <v>150</v>
      </c>
      <c r="B63">
        <v>9.0754742621534622E-3</v>
      </c>
      <c r="C63">
        <v>1.6049382341503216</v>
      </c>
      <c r="D63">
        <v>1.4565575636377269E-2</v>
      </c>
      <c r="E63">
        <f>+D63*-1</f>
        <v>-1.4565575636377269E-2</v>
      </c>
    </row>
    <row r="64" spans="1:5" x14ac:dyDescent="0.2">
      <c r="A64" t="s">
        <v>185</v>
      </c>
      <c r="B64">
        <v>8.9078499674611553E-3</v>
      </c>
      <c r="C64">
        <v>1.6316126499856649</v>
      </c>
      <c r="D64">
        <v>1.4534160691084014E-2</v>
      </c>
      <c r="E64">
        <f>+D64*-1</f>
        <v>-1.4534160691084014E-2</v>
      </c>
    </row>
    <row r="65" spans="1:5" x14ac:dyDescent="0.2">
      <c r="A65" t="s">
        <v>110</v>
      </c>
      <c r="B65">
        <v>1.2281403536547745E-2</v>
      </c>
      <c r="C65">
        <v>1.163183918008758</v>
      </c>
      <c r="D65">
        <v>1.4285531084288223E-2</v>
      </c>
      <c r="E65">
        <f>+D65*-1</f>
        <v>-1.4285531084288223E-2</v>
      </c>
    </row>
    <row r="66" spans="1:5" x14ac:dyDescent="0.2">
      <c r="A66" t="s">
        <v>45</v>
      </c>
      <c r="B66">
        <v>1.0534724686457256E-2</v>
      </c>
      <c r="C66">
        <v>1.3508847047800676</v>
      </c>
      <c r="D66">
        <v>1.4231198448004101E-2</v>
      </c>
      <c r="E66">
        <f>+D66*-1</f>
        <v>-1.4231198448004101E-2</v>
      </c>
    </row>
    <row r="67" spans="1:5" x14ac:dyDescent="0.2">
      <c r="A67" t="s">
        <v>228</v>
      </c>
      <c r="B67">
        <v>7.7556969259707717E-3</v>
      </c>
      <c r="C67">
        <v>1.8323201952620307</v>
      </c>
      <c r="D67">
        <v>1.4210920105787896E-2</v>
      </c>
      <c r="E67">
        <f>+D67*-1</f>
        <v>-1.4210920105787896E-2</v>
      </c>
    </row>
    <row r="68" spans="1:5" x14ac:dyDescent="0.2">
      <c r="A68" t="s">
        <v>82</v>
      </c>
      <c r="B68">
        <v>1.3313444261735655E-2</v>
      </c>
      <c r="C68">
        <v>1.0518392798130576</v>
      </c>
      <c r="D68">
        <v>1.4003603624095315E-2</v>
      </c>
      <c r="E68">
        <f>+D68*-1</f>
        <v>-1.4003603624095315E-2</v>
      </c>
    </row>
    <row r="69" spans="1:5" x14ac:dyDescent="0.2">
      <c r="A69" t="s">
        <v>39</v>
      </c>
      <c r="B69">
        <v>1.1491294873476682E-2</v>
      </c>
      <c r="C69">
        <v>1.1845122097675098</v>
      </c>
      <c r="D69">
        <v>1.3611579083671922E-2</v>
      </c>
      <c r="E69">
        <f>+D69*-1</f>
        <v>-1.3611579083671922E-2</v>
      </c>
    </row>
    <row r="70" spans="1:5" x14ac:dyDescent="0.2">
      <c r="A70" t="s">
        <v>115</v>
      </c>
      <c r="B70">
        <v>1.1577443954179614E-2</v>
      </c>
      <c r="C70">
        <v>1.1723957715340596</v>
      </c>
      <c r="D70">
        <v>1.3573346337052742E-2</v>
      </c>
      <c r="E70">
        <f>+D70*-1</f>
        <v>-1.3573346337052742E-2</v>
      </c>
    </row>
    <row r="71" spans="1:5" x14ac:dyDescent="0.2">
      <c r="A71" t="s">
        <v>56</v>
      </c>
      <c r="B71">
        <v>7.2926779440674969E-3</v>
      </c>
      <c r="C71">
        <v>1.8417212703511316</v>
      </c>
      <c r="D71">
        <v>1.343108008740967E-2</v>
      </c>
      <c r="E71">
        <f>+D71*-1</f>
        <v>-1.343108008740967E-2</v>
      </c>
    </row>
    <row r="72" spans="1:5" x14ac:dyDescent="0.2">
      <c r="A72" t="s">
        <v>151</v>
      </c>
      <c r="B72">
        <v>8.8566179221074223E-3</v>
      </c>
      <c r="C72">
        <v>1.503426019472351</v>
      </c>
      <c r="D72">
        <v>1.3315269828621447E-2</v>
      </c>
      <c r="E72">
        <f>+D72*-1</f>
        <v>-1.3315269828621447E-2</v>
      </c>
    </row>
    <row r="73" spans="1:5" x14ac:dyDescent="0.2">
      <c r="A73" t="s">
        <v>116</v>
      </c>
      <c r="B73">
        <v>1.1308344641233915E-2</v>
      </c>
      <c r="C73">
        <v>1.1749002072595334</v>
      </c>
      <c r="D73">
        <v>1.328617646274796E-2</v>
      </c>
      <c r="E73">
        <f>+D73*-1</f>
        <v>-1.328617646274796E-2</v>
      </c>
    </row>
    <row r="74" spans="1:5" x14ac:dyDescent="0.2">
      <c r="A74" t="s">
        <v>10</v>
      </c>
      <c r="B74">
        <v>1.1041608959529048E-2</v>
      </c>
      <c r="C74">
        <v>1.1829403201378976</v>
      </c>
      <c r="D74">
        <v>1.3061564437422771E-2</v>
      </c>
      <c r="E74">
        <f>+D74*-1</f>
        <v>-1.3061564437422771E-2</v>
      </c>
    </row>
    <row r="75" spans="1:5" x14ac:dyDescent="0.2">
      <c r="A75" t="s">
        <v>6</v>
      </c>
      <c r="B75">
        <v>1.0200911105163767E-2</v>
      </c>
      <c r="C75">
        <v>1.2664363988313321</v>
      </c>
      <c r="D75">
        <v>1.2918805124822144E-2</v>
      </c>
      <c r="E75">
        <f>+D75*-1</f>
        <v>-1.2918805124822144E-2</v>
      </c>
    </row>
    <row r="76" spans="1:5" x14ac:dyDescent="0.2">
      <c r="A76" t="s">
        <v>165</v>
      </c>
      <c r="B76">
        <v>1.2560605337406083E-2</v>
      </c>
      <c r="C76">
        <v>1.0117521672404626</v>
      </c>
      <c r="D76">
        <v>1.2708219671972725E-2</v>
      </c>
      <c r="E76">
        <f>+D76*-1</f>
        <v>-1.2708219671972725E-2</v>
      </c>
    </row>
    <row r="77" spans="1:5" x14ac:dyDescent="0.2">
      <c r="A77" t="s">
        <v>100</v>
      </c>
      <c r="B77">
        <v>1.0232500249833656E-2</v>
      </c>
      <c r="C77">
        <v>1.2319367568706974</v>
      </c>
      <c r="D77">
        <v>1.2605793172458675E-2</v>
      </c>
      <c r="E77">
        <f>+D77*-1</f>
        <v>-1.2605793172458675E-2</v>
      </c>
    </row>
    <row r="78" spans="1:5" x14ac:dyDescent="0.2">
      <c r="A78" t="s">
        <v>230</v>
      </c>
      <c r="B78">
        <v>7.7052640913139077E-3</v>
      </c>
      <c r="C78">
        <v>1.6179269198658468</v>
      </c>
      <c r="D78">
        <v>1.2466554198012424E-2</v>
      </c>
      <c r="E78">
        <f>+D78*-1</f>
        <v>-1.2466554198012424E-2</v>
      </c>
    </row>
    <row r="79" spans="1:5" x14ac:dyDescent="0.2">
      <c r="A79" t="s">
        <v>64</v>
      </c>
      <c r="B79">
        <v>9.6508849249390474E-3</v>
      </c>
      <c r="C79">
        <v>1.290894792933722</v>
      </c>
      <c r="D79">
        <v>1.245827709680637E-2</v>
      </c>
      <c r="E79">
        <f>+D79*-1</f>
        <v>-1.245827709680637E-2</v>
      </c>
    </row>
    <row r="80" spans="1:5" x14ac:dyDescent="0.2">
      <c r="A80" t="s">
        <v>198</v>
      </c>
      <c r="B80">
        <v>9.6198710491353992E-3</v>
      </c>
      <c r="C80">
        <v>1.283550169565211</v>
      </c>
      <c r="D80">
        <v>1.2347587116313206E-2</v>
      </c>
      <c r="E80">
        <f>+D80*-1</f>
        <v>-1.2347587116313206E-2</v>
      </c>
    </row>
    <row r="81" spans="1:5" x14ac:dyDescent="0.2">
      <c r="A81" t="s">
        <v>248</v>
      </c>
      <c r="B81">
        <v>1.0462406743906813E-2</v>
      </c>
      <c r="C81">
        <v>1.1749158581703876</v>
      </c>
      <c r="D81">
        <v>1.2292447598044924E-2</v>
      </c>
      <c r="E81">
        <f>+D81*-1</f>
        <v>-1.2292447598044924E-2</v>
      </c>
    </row>
    <row r="82" spans="1:5" x14ac:dyDescent="0.2">
      <c r="A82" t="s">
        <v>172</v>
      </c>
      <c r="B82">
        <v>1.0475700535177034E-2</v>
      </c>
      <c r="C82">
        <v>1.1593243653991252</v>
      </c>
      <c r="D82">
        <v>1.2144734875055392E-2</v>
      </c>
      <c r="E82">
        <f>+D82*-1</f>
        <v>-1.2144734875055392E-2</v>
      </c>
    </row>
    <row r="83" spans="1:5" x14ac:dyDescent="0.2">
      <c r="A83" t="s">
        <v>180</v>
      </c>
      <c r="B83">
        <v>1.0643004908559411E-2</v>
      </c>
      <c r="C83">
        <v>1.124394186768449</v>
      </c>
      <c r="D83">
        <v>1.196693284893227E-2</v>
      </c>
      <c r="E83">
        <f>+D83*-1</f>
        <v>-1.196693284893227E-2</v>
      </c>
    </row>
    <row r="84" spans="1:5" x14ac:dyDescent="0.2">
      <c r="A84" t="s">
        <v>26</v>
      </c>
      <c r="B84">
        <v>1.0723879735784002E-2</v>
      </c>
      <c r="C84">
        <v>1.1020550951861943</v>
      </c>
      <c r="D84">
        <v>1.1818306302984739E-2</v>
      </c>
      <c r="E84">
        <f>+D84*-1</f>
        <v>-1.1818306302984739E-2</v>
      </c>
    </row>
    <row r="85" spans="1:5" x14ac:dyDescent="0.2">
      <c r="A85" t="s">
        <v>112</v>
      </c>
      <c r="B85">
        <v>1.00031758636542E-2</v>
      </c>
      <c r="C85">
        <v>1.1714806536599216</v>
      </c>
      <c r="D85">
        <v>1.1718526999428772E-2</v>
      </c>
      <c r="E85">
        <f>+D85*-1</f>
        <v>-1.1718526999428772E-2</v>
      </c>
    </row>
    <row r="86" spans="1:5" x14ac:dyDescent="0.2">
      <c r="A86" t="s">
        <v>94</v>
      </c>
      <c r="B86">
        <v>8.3270254175023591E-3</v>
      </c>
      <c r="C86">
        <v>1.404687697389039</v>
      </c>
      <c r="D86">
        <v>1.169687015981139E-2</v>
      </c>
      <c r="E86">
        <f>+D86*-1</f>
        <v>-1.169687015981139E-2</v>
      </c>
    </row>
    <row r="87" spans="1:5" x14ac:dyDescent="0.2">
      <c r="A87" t="s">
        <v>221</v>
      </c>
      <c r="B87">
        <v>7.6325926366328138E-3</v>
      </c>
      <c r="C87">
        <v>1.4760815387110129</v>
      </c>
      <c r="D87">
        <v>1.1266329083435311E-2</v>
      </c>
      <c r="E87">
        <f>+D87*-1</f>
        <v>-1.1266329083435311E-2</v>
      </c>
    </row>
    <row r="88" spans="1:5" x14ac:dyDescent="0.2">
      <c r="A88" t="s">
        <v>200</v>
      </c>
      <c r="B88">
        <v>6.0772800619600578E-3</v>
      </c>
      <c r="C88">
        <v>1.762762588145403</v>
      </c>
      <c r="D88">
        <v>1.0712801930905166E-2</v>
      </c>
      <c r="E88">
        <f>+D88*-1</f>
        <v>-1.0712801930905166E-2</v>
      </c>
    </row>
    <row r="89" spans="1:5" x14ac:dyDescent="0.2">
      <c r="A89" t="s">
        <v>201</v>
      </c>
      <c r="B89">
        <v>7.1962968981928131E-3</v>
      </c>
      <c r="C89">
        <v>1.4843711644718656</v>
      </c>
      <c r="D89">
        <v>1.0681975606655741E-2</v>
      </c>
      <c r="E89">
        <f>+D89*-1</f>
        <v>-1.0681975606655741E-2</v>
      </c>
    </row>
    <row r="90" spans="1:5" x14ac:dyDescent="0.2">
      <c r="A90" t="s">
        <v>87</v>
      </c>
      <c r="B90">
        <v>8.9040066214518942E-3</v>
      </c>
      <c r="C90">
        <v>1.1990562590965796</v>
      </c>
      <c r="D90">
        <v>1.0676404870489284E-2</v>
      </c>
      <c r="E90">
        <f>+D90*-1</f>
        <v>-1.0676404870489284E-2</v>
      </c>
    </row>
    <row r="91" spans="1:5" x14ac:dyDescent="0.2">
      <c r="A91" t="s">
        <v>19</v>
      </c>
      <c r="B91">
        <v>1.0141147098050122E-2</v>
      </c>
      <c r="C91">
        <v>1.0474087302060386</v>
      </c>
      <c r="D91">
        <v>1.0621926004801331E-2</v>
      </c>
      <c r="E91">
        <f>+D91*-1</f>
        <v>-1.0621926004801331E-2</v>
      </c>
    </row>
    <row r="92" spans="1:5" x14ac:dyDescent="0.2">
      <c r="A92" t="s">
        <v>231</v>
      </c>
      <c r="B92">
        <v>9.2360494236263836E-3</v>
      </c>
      <c r="C92">
        <v>1.1413831905365543</v>
      </c>
      <c r="D92">
        <v>1.0541871559091986E-2</v>
      </c>
      <c r="E92">
        <f>+D92*-1</f>
        <v>-1.0541871559091986E-2</v>
      </c>
    </row>
    <row r="93" spans="1:5" x14ac:dyDescent="0.2">
      <c r="A93" t="s">
        <v>157</v>
      </c>
      <c r="B93">
        <v>6.942611679075175E-3</v>
      </c>
      <c r="C93">
        <v>1.5160526858013519</v>
      </c>
      <c r="D93">
        <v>1.0525365082537753E-2</v>
      </c>
      <c r="E93">
        <f>+D93*-1</f>
        <v>-1.0525365082537753E-2</v>
      </c>
    </row>
    <row r="94" spans="1:5" x14ac:dyDescent="0.2">
      <c r="A94" t="s">
        <v>32</v>
      </c>
      <c r="B94">
        <v>7.6564432067559749E-3</v>
      </c>
      <c r="C94">
        <v>1.3581284392320838</v>
      </c>
      <c r="D94">
        <v>1.0398433262460583E-2</v>
      </c>
      <c r="E94">
        <f>+D94*-1</f>
        <v>-1.0398433262460583E-2</v>
      </c>
    </row>
    <row r="95" spans="1:5" x14ac:dyDescent="0.2">
      <c r="A95" t="s">
        <v>4</v>
      </c>
      <c r="B95">
        <v>7.6479989308081741E-3</v>
      </c>
      <c r="C95">
        <v>1.3580581314434776</v>
      </c>
      <c r="D95">
        <v>1.0386427137255063E-2</v>
      </c>
      <c r="E95">
        <f>+D95*-1</f>
        <v>-1.0386427137255063E-2</v>
      </c>
    </row>
    <row r="96" spans="1:5" x14ac:dyDescent="0.2">
      <c r="A96" t="s">
        <v>148</v>
      </c>
      <c r="B96">
        <v>7.0478278982452451E-3</v>
      </c>
      <c r="C96">
        <v>1.4544441068355729</v>
      </c>
      <c r="D96">
        <v>1.0250671752594139E-2</v>
      </c>
      <c r="E96">
        <f>+D96*-1</f>
        <v>-1.0250671752594139E-2</v>
      </c>
    </row>
    <row r="97" spans="1:5" x14ac:dyDescent="0.2">
      <c r="A97" t="s">
        <v>246</v>
      </c>
      <c r="B97">
        <v>6.8870783241206466E-3</v>
      </c>
      <c r="C97">
        <v>1.4753933566262938</v>
      </c>
      <c r="D97">
        <v>1.0161149605972551E-2</v>
      </c>
      <c r="E97">
        <f>+D97*-1</f>
        <v>-1.0161149605972551E-2</v>
      </c>
    </row>
    <row r="98" spans="1:5" x14ac:dyDescent="0.2">
      <c r="A98" t="s">
        <v>113</v>
      </c>
      <c r="B98">
        <v>6.5793473045439501E-3</v>
      </c>
      <c r="C98">
        <v>1.5361253718869743</v>
      </c>
      <c r="D98">
        <v>1.0106702324966138E-2</v>
      </c>
      <c r="E98">
        <f>+D98*-1</f>
        <v>-1.0106702324966138E-2</v>
      </c>
    </row>
    <row r="99" spans="1:5" x14ac:dyDescent="0.2">
      <c r="A99" t="s">
        <v>142</v>
      </c>
      <c r="B99">
        <v>9.8454179335208704E-3</v>
      </c>
      <c r="C99">
        <v>1.0207102780912036</v>
      </c>
      <c r="D99">
        <v>1.004931927684821E-2</v>
      </c>
      <c r="E99">
        <f>+D99*-1</f>
        <v>-1.004931927684821E-2</v>
      </c>
    </row>
    <row r="100" spans="1:5" x14ac:dyDescent="0.2">
      <c r="A100" t="s">
        <v>152</v>
      </c>
      <c r="B100">
        <v>6.9016606653153345E-3</v>
      </c>
      <c r="C100">
        <v>1.4378916152099814</v>
      </c>
      <c r="D100">
        <v>9.923840001681462E-3</v>
      </c>
      <c r="E100">
        <f>+D100*-1</f>
        <v>-9.923840001681462E-3</v>
      </c>
    </row>
    <row r="101" spans="1:5" x14ac:dyDescent="0.2">
      <c r="A101" t="s">
        <v>41</v>
      </c>
      <c r="B101">
        <v>9.6438737023712799E-3</v>
      </c>
      <c r="C101">
        <v>1.0244841050801643</v>
      </c>
      <c r="D101">
        <v>9.879995319479971E-3</v>
      </c>
      <c r="E101">
        <f>+D101*-1</f>
        <v>-9.879995319479971E-3</v>
      </c>
    </row>
    <row r="102" spans="1:5" x14ac:dyDescent="0.2">
      <c r="A102" t="s">
        <v>133</v>
      </c>
      <c r="B102">
        <v>7.9884297808767366E-3</v>
      </c>
      <c r="C102">
        <v>1.2150295365515238</v>
      </c>
      <c r="D102">
        <v>9.7061781344330526E-3</v>
      </c>
      <c r="E102">
        <f>+D102*-1</f>
        <v>-9.7061781344330526E-3</v>
      </c>
    </row>
    <row r="103" spans="1:5" x14ac:dyDescent="0.2">
      <c r="A103" t="s">
        <v>62</v>
      </c>
      <c r="B103">
        <v>9.1058797094304231E-3</v>
      </c>
      <c r="C103">
        <v>1.0482180359072841</v>
      </c>
      <c r="D103">
        <v>9.5449473442271501E-3</v>
      </c>
      <c r="E103">
        <f>+D103*-1</f>
        <v>-9.5449473442271501E-3</v>
      </c>
    </row>
    <row r="104" spans="1:5" x14ac:dyDescent="0.2">
      <c r="A104" t="s">
        <v>122</v>
      </c>
      <c r="B104">
        <v>6.7274085965409822E-3</v>
      </c>
      <c r="C104">
        <v>1.411495637435298</v>
      </c>
      <c r="D104">
        <v>9.4957078852623174E-3</v>
      </c>
      <c r="E104">
        <f>+D104*-1</f>
        <v>-9.4957078852623174E-3</v>
      </c>
    </row>
    <row r="105" spans="1:5" x14ac:dyDescent="0.2">
      <c r="A105" t="s">
        <v>126</v>
      </c>
      <c r="B105">
        <v>7.5931293926017347E-3</v>
      </c>
      <c r="C105">
        <v>1.1694997025558245</v>
      </c>
      <c r="D105">
        <v>8.8801625661156167E-3</v>
      </c>
      <c r="E105">
        <f>+D105*-1</f>
        <v>-8.8801625661156167E-3</v>
      </c>
    </row>
    <row r="106" spans="1:5" x14ac:dyDescent="0.2">
      <c r="A106" t="s">
        <v>131</v>
      </c>
      <c r="B106">
        <v>5.672595590178563E-3</v>
      </c>
      <c r="C106">
        <v>1.5562940972727644</v>
      </c>
      <c r="D106">
        <v>8.8282270332104111E-3</v>
      </c>
      <c r="E106">
        <f>+D106*-1</f>
        <v>-8.8282270332104111E-3</v>
      </c>
    </row>
    <row r="107" spans="1:5" x14ac:dyDescent="0.2">
      <c r="A107" t="s">
        <v>13</v>
      </c>
      <c r="B107">
        <v>5.7739285903010713E-3</v>
      </c>
      <c r="C107">
        <v>1.5166967996189662</v>
      </c>
      <c r="D107">
        <v>8.7572990141380844E-3</v>
      </c>
      <c r="E107">
        <f>+D107*-1</f>
        <v>-8.7572990141380844E-3</v>
      </c>
    </row>
    <row r="108" spans="1:5" x14ac:dyDescent="0.2">
      <c r="A108" t="s">
        <v>211</v>
      </c>
      <c r="B108">
        <v>4.4328372346021001E-3</v>
      </c>
      <c r="C108">
        <v>1.9528761348456192</v>
      </c>
      <c r="D108">
        <v>8.6567820451094925E-3</v>
      </c>
      <c r="E108">
        <f>+D108*-1</f>
        <v>-8.6567820451094925E-3</v>
      </c>
    </row>
    <row r="109" spans="1:5" x14ac:dyDescent="0.2">
      <c r="A109" t="s">
        <v>206</v>
      </c>
      <c r="B109">
        <v>5.5768422880820151E-3</v>
      </c>
      <c r="C109">
        <v>1.5177668358933172</v>
      </c>
      <c r="D109">
        <v>8.4643462738582878E-3</v>
      </c>
      <c r="E109">
        <f>+D109*-1</f>
        <v>-8.4643462738582878E-3</v>
      </c>
    </row>
    <row r="110" spans="1:5" x14ac:dyDescent="0.2">
      <c r="A110" t="s">
        <v>58</v>
      </c>
      <c r="B110">
        <v>7.9786115304444263E-3</v>
      </c>
      <c r="C110">
        <v>1.030378626665716</v>
      </c>
      <c r="D110">
        <v>8.2209907914385753E-3</v>
      </c>
      <c r="E110">
        <f>+D110*-1</f>
        <v>-8.2209907914385753E-3</v>
      </c>
    </row>
    <row r="111" spans="1:5" x14ac:dyDescent="0.2">
      <c r="A111" t="s">
        <v>114</v>
      </c>
      <c r="B111">
        <v>7.2805505515139944E-3</v>
      </c>
      <c r="C111">
        <v>1.1226601619189696</v>
      </c>
      <c r="D111">
        <v>8.1735840610219438E-3</v>
      </c>
      <c r="E111">
        <f>+D111*-1</f>
        <v>-8.1735840610219438E-3</v>
      </c>
    </row>
    <row r="112" spans="1:5" x14ac:dyDescent="0.2">
      <c r="A112" t="s">
        <v>167</v>
      </c>
      <c r="B112">
        <v>7.3718330468927201E-3</v>
      </c>
      <c r="C112">
        <v>1.1007110668397335</v>
      </c>
      <c r="D112">
        <v>8.1142582176096899E-3</v>
      </c>
      <c r="E112">
        <f>+D112*-1</f>
        <v>-8.1142582176096899E-3</v>
      </c>
    </row>
    <row r="113" spans="1:5" x14ac:dyDescent="0.2">
      <c r="A113" t="s">
        <v>132</v>
      </c>
      <c r="B113">
        <v>6.17142808055288E-3</v>
      </c>
      <c r="C113">
        <v>1.3109267538539657</v>
      </c>
      <c r="D113">
        <v>8.0902901802823966E-3</v>
      </c>
      <c r="E113">
        <f>+D113*-1</f>
        <v>-8.0902901802823966E-3</v>
      </c>
    </row>
    <row r="114" spans="1:5" x14ac:dyDescent="0.2">
      <c r="A114" t="s">
        <v>59</v>
      </c>
      <c r="B114">
        <v>7.4543694882515475E-3</v>
      </c>
      <c r="C114">
        <v>1.0791157894008256</v>
      </c>
      <c r="D114">
        <v>8.0441278147999964E-3</v>
      </c>
      <c r="E114">
        <f>+D114*-1</f>
        <v>-8.0441278147999964E-3</v>
      </c>
    </row>
    <row r="115" spans="1:5" x14ac:dyDescent="0.2">
      <c r="A115" t="s">
        <v>154</v>
      </c>
      <c r="B115">
        <v>6.5733000469028833E-3</v>
      </c>
      <c r="C115">
        <v>1.2055827573831093</v>
      </c>
      <c r="D115">
        <v>7.9246571956516996E-3</v>
      </c>
      <c r="E115">
        <f>+D115*-1</f>
        <v>-7.9246571956516996E-3</v>
      </c>
    </row>
    <row r="116" spans="1:5" x14ac:dyDescent="0.2">
      <c r="A116" t="s">
        <v>43</v>
      </c>
      <c r="B116">
        <v>7.6995969393055808E-3</v>
      </c>
      <c r="C116">
        <v>1.0236732260975521</v>
      </c>
      <c r="D116">
        <v>7.8818712385097817E-3</v>
      </c>
      <c r="E116">
        <f>+D116*-1</f>
        <v>-7.8818712385097817E-3</v>
      </c>
    </row>
    <row r="117" spans="1:5" x14ac:dyDescent="0.2">
      <c r="A117" t="s">
        <v>227</v>
      </c>
      <c r="B117">
        <v>6.8839730523634684E-3</v>
      </c>
      <c r="C117">
        <v>1.1430334619419675</v>
      </c>
      <c r="D117">
        <v>7.8686115499582293E-3</v>
      </c>
      <c r="E117">
        <f>+D117*-1</f>
        <v>-7.8686115499582293E-3</v>
      </c>
    </row>
    <row r="118" spans="1:5" x14ac:dyDescent="0.2">
      <c r="A118" t="s">
        <v>155</v>
      </c>
      <c r="B118">
        <v>6.5983993278793838E-3</v>
      </c>
      <c r="C118">
        <v>1.1806092982200243</v>
      </c>
      <c r="D118">
        <v>7.7901315998631588E-3</v>
      </c>
      <c r="E118">
        <f>+D118*-1</f>
        <v>-7.7901315998631588E-3</v>
      </c>
    </row>
    <row r="119" spans="1:5" x14ac:dyDescent="0.2">
      <c r="A119" t="s">
        <v>244</v>
      </c>
      <c r="B119">
        <v>3.7465000582008229E-3</v>
      </c>
      <c r="C119">
        <v>2.0541657187348319</v>
      </c>
      <c r="D119">
        <v>7.6959319847941833E-3</v>
      </c>
      <c r="E119">
        <f>+D119*-1</f>
        <v>-7.6959319847941833E-3</v>
      </c>
    </row>
    <row r="120" spans="1:5" x14ac:dyDescent="0.2">
      <c r="A120" t="s">
        <v>68</v>
      </c>
      <c r="B120">
        <v>6.4371175246639746E-3</v>
      </c>
      <c r="C120">
        <v>1.1951644279631906</v>
      </c>
      <c r="D120">
        <v>7.6934138840968483E-3</v>
      </c>
      <c r="E120">
        <f>+D120*-1</f>
        <v>-7.6934138840968483E-3</v>
      </c>
    </row>
    <row r="121" spans="1:5" x14ac:dyDescent="0.2">
      <c r="A121" t="s">
        <v>79</v>
      </c>
      <c r="B121">
        <v>7.3110022540688602E-3</v>
      </c>
      <c r="C121">
        <v>1.044496575308324</v>
      </c>
      <c r="D121">
        <v>7.6363168164463617E-3</v>
      </c>
      <c r="E121">
        <f>+D121*-1</f>
        <v>-7.6363168164463617E-3</v>
      </c>
    </row>
    <row r="122" spans="1:5" x14ac:dyDescent="0.2">
      <c r="A122" t="s">
        <v>171</v>
      </c>
      <c r="B122">
        <v>5.5942450383183748E-3</v>
      </c>
      <c r="C122">
        <v>1.3112460326601769</v>
      </c>
      <c r="D122">
        <v>7.3354316122238488E-3</v>
      </c>
      <c r="E122">
        <f>+D122*-1</f>
        <v>-7.3354316122238488E-3</v>
      </c>
    </row>
    <row r="123" spans="1:5" x14ac:dyDescent="0.2">
      <c r="A123" t="s">
        <v>16</v>
      </c>
      <c r="B123">
        <v>7.240969527151005E-3</v>
      </c>
      <c r="C123">
        <v>1.0043164594107896</v>
      </c>
      <c r="D123">
        <v>7.2722248782097166E-3</v>
      </c>
      <c r="E123">
        <f>+D123*-1</f>
        <v>-7.2722248782097166E-3</v>
      </c>
    </row>
    <row r="124" spans="1:5" x14ac:dyDescent="0.2">
      <c r="A124" t="s">
        <v>23</v>
      </c>
      <c r="B124">
        <v>6.2044951503108497E-3</v>
      </c>
      <c r="C124">
        <v>1.1656290429342329</v>
      </c>
      <c r="D124">
        <v>7.2321397439469252E-3</v>
      </c>
      <c r="E124">
        <f>+D124*-1</f>
        <v>-7.2321397439469252E-3</v>
      </c>
    </row>
    <row r="125" spans="1:5" x14ac:dyDescent="0.2">
      <c r="A125" t="s">
        <v>235</v>
      </c>
      <c r="B125">
        <v>6.3744270514550653E-3</v>
      </c>
      <c r="C125">
        <v>1.1300359050573774</v>
      </c>
      <c r="D125">
        <v>7.203331442313254E-3</v>
      </c>
      <c r="E125">
        <f>+D125*-1</f>
        <v>-7.203331442313254E-3</v>
      </c>
    </row>
    <row r="126" spans="1:5" x14ac:dyDescent="0.2">
      <c r="A126" t="s">
        <v>220</v>
      </c>
      <c r="B126">
        <v>6.9771181647962956E-3</v>
      </c>
      <c r="C126">
        <v>1.0191661548242186</v>
      </c>
      <c r="D126">
        <v>7.1108426917696494E-3</v>
      </c>
      <c r="E126">
        <f>+D126*-1</f>
        <v>-7.1108426917696494E-3</v>
      </c>
    </row>
    <row r="127" spans="1:5" x14ac:dyDescent="0.2">
      <c r="A127" t="s">
        <v>140</v>
      </c>
      <c r="B127">
        <v>4.663703540552267E-3</v>
      </c>
      <c r="C127">
        <v>1.5086792532905262</v>
      </c>
      <c r="D127">
        <v>7.0360327751287774E-3</v>
      </c>
      <c r="E127">
        <f>+D127*-1</f>
        <v>-7.0360327751287774E-3</v>
      </c>
    </row>
    <row r="128" spans="1:5" x14ac:dyDescent="0.2">
      <c r="A128" t="s">
        <v>60</v>
      </c>
      <c r="B128">
        <v>4.8292276836224843E-3</v>
      </c>
      <c r="C128">
        <v>1.4397144663826502</v>
      </c>
      <c r="D128">
        <v>6.9527089575668671E-3</v>
      </c>
      <c r="E128">
        <f>+D128*-1</f>
        <v>-6.9527089575668671E-3</v>
      </c>
    </row>
    <row r="129" spans="1:5" x14ac:dyDescent="0.2">
      <c r="A129" t="s">
        <v>109</v>
      </c>
      <c r="B129">
        <v>5.6308379296323447E-3</v>
      </c>
      <c r="C129">
        <v>1.2207903672844922</v>
      </c>
      <c r="D129">
        <v>6.8740727042353195E-3</v>
      </c>
      <c r="E129">
        <f>+D129*-1</f>
        <v>-6.8740727042353195E-3</v>
      </c>
    </row>
    <row r="130" spans="1:5" x14ac:dyDescent="0.2">
      <c r="A130" t="s">
        <v>75</v>
      </c>
      <c r="B130">
        <v>6.6726619105926133E-3</v>
      </c>
      <c r="C130">
        <v>1.0273358424478896</v>
      </c>
      <c r="D130">
        <v>6.855064745288607E-3</v>
      </c>
      <c r="E130">
        <f>+D130*-1</f>
        <v>-6.855064745288607E-3</v>
      </c>
    </row>
    <row r="131" spans="1:5" x14ac:dyDescent="0.2">
      <c r="A131" t="s">
        <v>67</v>
      </c>
      <c r="B131">
        <v>4.9337553278262225E-3</v>
      </c>
      <c r="C131">
        <v>1.3847002720046182</v>
      </c>
      <c r="D131">
        <v>6.8317723444452048E-3</v>
      </c>
      <c r="E131">
        <f>+D131*-1</f>
        <v>-6.8317723444452048E-3</v>
      </c>
    </row>
    <row r="132" spans="1:5" x14ac:dyDescent="0.2">
      <c r="A132" t="s">
        <v>188</v>
      </c>
      <c r="B132">
        <v>4.8751333705937747E-3</v>
      </c>
      <c r="C132">
        <v>1.3638263711403429</v>
      </c>
      <c r="D132">
        <v>6.6488354536420958E-3</v>
      </c>
      <c r="E132">
        <f>+D132*-1</f>
        <v>-6.6488354536420958E-3</v>
      </c>
    </row>
    <row r="133" spans="1:5" x14ac:dyDescent="0.2">
      <c r="A133" t="s">
        <v>233</v>
      </c>
      <c r="B133">
        <v>5.8707295321260506E-3</v>
      </c>
      <c r="C133">
        <v>1.128235720632333</v>
      </c>
      <c r="D133">
        <v>6.6235667643157539E-3</v>
      </c>
      <c r="E133">
        <f>+D133*-1</f>
        <v>-6.6235667643157539E-3</v>
      </c>
    </row>
    <row r="134" spans="1:5" x14ac:dyDescent="0.2">
      <c r="A134" t="s">
        <v>160</v>
      </c>
      <c r="B134">
        <v>4.6666405432694387E-3</v>
      </c>
      <c r="C134">
        <v>1.417966711595585</v>
      </c>
      <c r="D134">
        <v>6.6171409453384001E-3</v>
      </c>
      <c r="E134">
        <f>+D134*-1</f>
        <v>-6.6171409453384001E-3</v>
      </c>
    </row>
    <row r="135" spans="1:5" x14ac:dyDescent="0.2">
      <c r="A135" t="s">
        <v>217</v>
      </c>
      <c r="B135">
        <v>6.316660257334716E-3</v>
      </c>
      <c r="C135">
        <v>1.0421937193545652</v>
      </c>
      <c r="D135">
        <v>6.583183647490832E-3</v>
      </c>
      <c r="E135">
        <f>+D135*-1</f>
        <v>-6.583183647490832E-3</v>
      </c>
    </row>
    <row r="136" spans="1:5" x14ac:dyDescent="0.2">
      <c r="A136" t="s">
        <v>38</v>
      </c>
      <c r="B136">
        <v>6.1804305420544662E-3</v>
      </c>
      <c r="C136">
        <v>1.0637459239221254</v>
      </c>
      <c r="D136">
        <v>6.5744077971942507E-3</v>
      </c>
      <c r="E136">
        <f>+D136*-1</f>
        <v>-6.5744077971942507E-3</v>
      </c>
    </row>
    <row r="137" spans="1:5" x14ac:dyDescent="0.2">
      <c r="A137" t="s">
        <v>121</v>
      </c>
      <c r="B137">
        <v>4.9202552531819937E-3</v>
      </c>
      <c r="C137">
        <v>1.323635741317206</v>
      </c>
      <c r="D137">
        <v>6.5126257095154249E-3</v>
      </c>
      <c r="E137">
        <f>+D137*-1</f>
        <v>-6.5126257095154249E-3</v>
      </c>
    </row>
    <row r="138" spans="1:5" x14ac:dyDescent="0.2">
      <c r="A138" t="s">
        <v>193</v>
      </c>
      <c r="B138">
        <v>4.8937496836588545E-3</v>
      </c>
      <c r="C138">
        <v>1.3281786266607349</v>
      </c>
      <c r="D138">
        <v>6.4997737340634233E-3</v>
      </c>
      <c r="E138">
        <f>+D138*-1</f>
        <v>-6.4997737340634233E-3</v>
      </c>
    </row>
    <row r="139" spans="1:5" x14ac:dyDescent="0.2">
      <c r="A139" t="s">
        <v>125</v>
      </c>
      <c r="B139">
        <v>4.7938583645472672E-3</v>
      </c>
      <c r="C139">
        <v>1.3513737872102229</v>
      </c>
      <c r="D139">
        <v>6.4782945334476462E-3</v>
      </c>
      <c r="E139">
        <f>+D139*-1</f>
        <v>-6.4782945334476462E-3</v>
      </c>
    </row>
    <row r="140" spans="1:5" x14ac:dyDescent="0.2">
      <c r="A140" t="s">
        <v>8</v>
      </c>
      <c r="B140">
        <v>3.7926228481279601E-3</v>
      </c>
      <c r="C140">
        <v>1.6812297692260398</v>
      </c>
      <c r="D140">
        <v>6.3762704357195766E-3</v>
      </c>
      <c r="E140">
        <f>+D140*-1</f>
        <v>-6.3762704357195766E-3</v>
      </c>
    </row>
    <row r="141" spans="1:5" x14ac:dyDescent="0.2">
      <c r="A141" t="s">
        <v>241</v>
      </c>
      <c r="B141">
        <v>4.0804017158372853E-3</v>
      </c>
      <c r="C141">
        <v>1.4307402057097456</v>
      </c>
      <c r="D141">
        <v>5.8379947902954367E-3</v>
      </c>
      <c r="E141">
        <f>+D141*-1</f>
        <v>-5.8379947902954367E-3</v>
      </c>
    </row>
    <row r="142" spans="1:5" x14ac:dyDescent="0.2">
      <c r="A142" t="s">
        <v>207</v>
      </c>
      <c r="B142">
        <v>4.6384845165719658E-3</v>
      </c>
      <c r="C142">
        <v>1.2477028732525501</v>
      </c>
      <c r="D142">
        <v>5.7874504588643081E-3</v>
      </c>
      <c r="E142">
        <f>+D142*-1</f>
        <v>-5.7874504588643081E-3</v>
      </c>
    </row>
    <row r="143" spans="1:5" x14ac:dyDescent="0.2">
      <c r="A143" t="s">
        <v>135</v>
      </c>
      <c r="B143">
        <v>4.4147735846843429E-3</v>
      </c>
      <c r="C143">
        <v>1.300117677279371</v>
      </c>
      <c r="D143">
        <v>5.7397251786341303E-3</v>
      </c>
      <c r="E143">
        <f>+D143*-1</f>
        <v>-5.7397251786341303E-3</v>
      </c>
    </row>
    <row r="144" spans="1:5" x14ac:dyDescent="0.2">
      <c r="A144" t="s">
        <v>138</v>
      </c>
      <c r="B144">
        <v>3.3631453002735496E-3</v>
      </c>
      <c r="C144">
        <v>1.63469420072835</v>
      </c>
      <c r="D144">
        <v>5.4977141185639771E-3</v>
      </c>
      <c r="E144">
        <f>+D144*-1</f>
        <v>-5.4977141185639771E-3</v>
      </c>
    </row>
    <row r="145" spans="1:5" x14ac:dyDescent="0.2">
      <c r="A145" t="s">
        <v>218</v>
      </c>
      <c r="B145">
        <v>4.1612166824373806E-3</v>
      </c>
      <c r="C145">
        <v>1.2697690112404765</v>
      </c>
      <c r="D145">
        <v>5.2837839924158884E-3</v>
      </c>
      <c r="E145">
        <f>+D145*-1</f>
        <v>-5.2837839924158884E-3</v>
      </c>
    </row>
    <row r="146" spans="1:5" x14ac:dyDescent="0.2">
      <c r="A146" t="s">
        <v>90</v>
      </c>
      <c r="B146">
        <v>3.2603699687692288E-3</v>
      </c>
      <c r="C146">
        <v>1.5900081370915453</v>
      </c>
      <c r="D146">
        <v>5.1840147802719814E-3</v>
      </c>
      <c r="E146">
        <f>+D146*-1</f>
        <v>-5.1840147802719814E-3</v>
      </c>
    </row>
    <row r="147" spans="1:5" x14ac:dyDescent="0.2">
      <c r="A147" t="s">
        <v>234</v>
      </c>
      <c r="B147">
        <v>4.0242650515930354E-3</v>
      </c>
      <c r="C147">
        <v>1.2847126472185433</v>
      </c>
      <c r="D147">
        <v>5.1700242075411558E-3</v>
      </c>
      <c r="E147">
        <f>+D147*-1</f>
        <v>-5.1700242075411558E-3</v>
      </c>
    </row>
    <row r="148" spans="1:5" x14ac:dyDescent="0.2">
      <c r="A148" t="s">
        <v>61</v>
      </c>
      <c r="B148">
        <v>4.1491888235466986E-3</v>
      </c>
      <c r="C148">
        <v>1.1985782544556021</v>
      </c>
      <c r="D148">
        <v>4.9731274975332949E-3</v>
      </c>
      <c r="E148">
        <f>+D148*-1</f>
        <v>-4.9731274975332949E-3</v>
      </c>
    </row>
    <row r="149" spans="1:5" x14ac:dyDescent="0.2">
      <c r="A149" t="s">
        <v>22</v>
      </c>
      <c r="B149">
        <v>3.0197408153852584E-3</v>
      </c>
      <c r="C149">
        <v>1.6143834522925127</v>
      </c>
      <c r="D149">
        <v>4.8750196025702606E-3</v>
      </c>
      <c r="E149">
        <f>+D149*-1</f>
        <v>-4.8750196025702606E-3</v>
      </c>
    </row>
    <row r="150" spans="1:5" x14ac:dyDescent="0.2">
      <c r="A150" t="s">
        <v>29</v>
      </c>
      <c r="B150">
        <v>4.1429505054744057E-3</v>
      </c>
      <c r="C150">
        <v>1.145287362917768</v>
      </c>
      <c r="D150">
        <v>4.7448688591136164E-3</v>
      </c>
      <c r="E150">
        <f>+D150*-1</f>
        <v>-4.7448688591136164E-3</v>
      </c>
    </row>
    <row r="151" spans="1:5" x14ac:dyDescent="0.2">
      <c r="A151" t="s">
        <v>74</v>
      </c>
      <c r="B151">
        <v>3.0876102513996383E-3</v>
      </c>
      <c r="C151">
        <v>1.5262521345969704</v>
      </c>
      <c r="D151">
        <v>4.712471737002186E-3</v>
      </c>
      <c r="E151">
        <f>+D151*-1</f>
        <v>-4.712471737002186E-3</v>
      </c>
    </row>
    <row r="152" spans="1:5" x14ac:dyDescent="0.2">
      <c r="A152" t="s">
        <v>57</v>
      </c>
      <c r="B152">
        <v>3.1969115619213079E-3</v>
      </c>
      <c r="C152">
        <v>1.4234241872312949</v>
      </c>
      <c r="D152">
        <v>4.5505612416781669E-3</v>
      </c>
      <c r="E152">
        <f>+D152*-1</f>
        <v>-4.5505612416781669E-3</v>
      </c>
    </row>
    <row r="153" spans="1:5" x14ac:dyDescent="0.2">
      <c r="A153" t="s">
        <v>236</v>
      </c>
      <c r="B153">
        <v>3.5423050923920432E-3</v>
      </c>
      <c r="C153">
        <v>1.2813071062591723</v>
      </c>
      <c r="D153">
        <v>4.5387806874199787E-3</v>
      </c>
      <c r="E153">
        <f>+D153*-1</f>
        <v>-4.5387806874199787E-3</v>
      </c>
    </row>
    <row r="154" spans="1:5" x14ac:dyDescent="0.2">
      <c r="A154" t="s">
        <v>250</v>
      </c>
      <c r="B154">
        <v>3.9970406066878609E-3</v>
      </c>
      <c r="C154">
        <v>1.0687354773085846</v>
      </c>
      <c r="D154">
        <v>4.2717791006103454E-3</v>
      </c>
      <c r="E154">
        <f>+D154*-1</f>
        <v>-4.2717791006103454E-3</v>
      </c>
    </row>
    <row r="155" spans="1:5" x14ac:dyDescent="0.2">
      <c r="A155" t="s">
        <v>161</v>
      </c>
      <c r="B155">
        <v>2.9774461966732232E-3</v>
      </c>
      <c r="C155">
        <v>1.3338277774778051</v>
      </c>
      <c r="D155">
        <v>3.9714004430683892E-3</v>
      </c>
      <c r="E155">
        <f>+D155*-1</f>
        <v>-3.9714004430683892E-3</v>
      </c>
    </row>
    <row r="156" spans="1:5" x14ac:dyDescent="0.2">
      <c r="A156" t="s">
        <v>153</v>
      </c>
      <c r="B156">
        <v>3.7114858574189497E-3</v>
      </c>
      <c r="C156">
        <v>1.0007205762755014</v>
      </c>
      <c r="D156">
        <v>3.7141602660746647E-3</v>
      </c>
      <c r="E156">
        <f>+D156*-1</f>
        <v>-3.7141602660746647E-3</v>
      </c>
    </row>
    <row r="157" spans="1:5" x14ac:dyDescent="0.2">
      <c r="A157" t="s">
        <v>52</v>
      </c>
      <c r="B157">
        <v>2.1572074079558527E-3</v>
      </c>
      <c r="C157">
        <v>1.478203871680744</v>
      </c>
      <c r="D157">
        <v>3.1887923424587235E-3</v>
      </c>
      <c r="E157">
        <f>+D157*-1</f>
        <v>-3.1887923424587235E-3</v>
      </c>
    </row>
    <row r="158" spans="1:5" x14ac:dyDescent="0.2">
      <c r="A158" t="s">
        <v>123</v>
      </c>
      <c r="B158">
        <v>2.9510638509078215E-3</v>
      </c>
      <c r="C158">
        <v>1.0623457647144989</v>
      </c>
      <c r="D158">
        <v>3.1350501834139836E-3</v>
      </c>
      <c r="E158">
        <f>+D158*-1</f>
        <v>-3.1350501834139836E-3</v>
      </c>
    </row>
    <row r="159" spans="1:5" x14ac:dyDescent="0.2">
      <c r="A159" t="s">
        <v>105</v>
      </c>
      <c r="B159">
        <v>2.2375582653722495E-3</v>
      </c>
      <c r="C159">
        <v>1.3144129542806027</v>
      </c>
      <c r="D159">
        <v>2.9410755699629193E-3</v>
      </c>
      <c r="E159">
        <f>+D159*-1</f>
        <v>-2.9410755699629193E-3</v>
      </c>
    </row>
    <row r="160" spans="1:5" x14ac:dyDescent="0.2">
      <c r="A160" t="s">
        <v>49</v>
      </c>
      <c r="B160">
        <v>2.6507768146431928E-3</v>
      </c>
      <c r="C160">
        <v>1.0927028038371882</v>
      </c>
      <c r="D160">
        <v>2.8965112577072271E-3</v>
      </c>
      <c r="E160">
        <f>+D160*-1</f>
        <v>-2.8965112577072271E-3</v>
      </c>
    </row>
    <row r="161" spans="1:5" x14ac:dyDescent="0.2">
      <c r="A161" t="s">
        <v>202</v>
      </c>
      <c r="B161">
        <v>1.9074386400082825E-3</v>
      </c>
      <c r="C161">
        <v>1.5049648364514834</v>
      </c>
      <c r="D161">
        <v>2.8706280809013048E-3</v>
      </c>
      <c r="E161">
        <f>+D161*-1</f>
        <v>-2.8706280809013048E-3</v>
      </c>
    </row>
    <row r="162" spans="1:5" x14ac:dyDescent="0.2">
      <c r="A162" t="s">
        <v>65</v>
      </c>
      <c r="B162">
        <v>1.7219148278008471E-3</v>
      </c>
      <c r="C162">
        <v>1.6526095724710694</v>
      </c>
      <c r="D162">
        <v>2.845652927403553E-3</v>
      </c>
      <c r="E162">
        <f>+D162*-1</f>
        <v>-2.845652927403553E-3</v>
      </c>
    </row>
    <row r="163" spans="1:5" x14ac:dyDescent="0.2">
      <c r="A163" t="s">
        <v>128</v>
      </c>
      <c r="B163">
        <v>2.1942231505600552E-3</v>
      </c>
      <c r="C163">
        <v>1.2763339948893759</v>
      </c>
      <c r="D163">
        <v>2.8005615994330679E-3</v>
      </c>
      <c r="E163">
        <f>+D163*-1</f>
        <v>-2.8005615994330679E-3</v>
      </c>
    </row>
    <row r="164" spans="1:5" x14ac:dyDescent="0.2">
      <c r="A164" t="s">
        <v>21</v>
      </c>
      <c r="B164">
        <v>2.3990294797448268E-3</v>
      </c>
      <c r="C164">
        <v>1.0815465783984908</v>
      </c>
      <c r="D164">
        <v>2.5946621252951286E-3</v>
      </c>
      <c r="E164">
        <f>+D164*-1</f>
        <v>-2.5946621252951286E-3</v>
      </c>
    </row>
    <row r="165" spans="1:5" x14ac:dyDescent="0.2">
      <c r="A165" t="s">
        <v>69</v>
      </c>
      <c r="B165">
        <v>2.0902200570424604E-3</v>
      </c>
      <c r="C165">
        <v>1.0809447206882792</v>
      </c>
      <c r="D165">
        <v>2.2594123357368013E-3</v>
      </c>
      <c r="E165">
        <f>+D165*-1</f>
        <v>-2.2594123357368013E-3</v>
      </c>
    </row>
    <row r="166" spans="1:5" x14ac:dyDescent="0.2">
      <c r="A166" t="s">
        <v>203</v>
      </c>
      <c r="B166">
        <v>1.5152880117721211E-3</v>
      </c>
      <c r="C166">
        <v>1.479785086811962</v>
      </c>
      <c r="D166">
        <v>2.2423006020453333E-3</v>
      </c>
      <c r="E166">
        <f>+D166*-1</f>
        <v>-2.2423006020453333E-3</v>
      </c>
    </row>
    <row r="167" spans="1:5" x14ac:dyDescent="0.2">
      <c r="A167" t="s">
        <v>50</v>
      </c>
      <c r="B167">
        <v>1.452670942796701E-3</v>
      </c>
      <c r="C167">
        <v>1.4510776993864845</v>
      </c>
      <c r="D167">
        <v>2.1079384096390325E-3</v>
      </c>
      <c r="E167">
        <f>+D167*-1</f>
        <v>-2.1079384096390325E-3</v>
      </c>
    </row>
    <row r="168" spans="1:5" x14ac:dyDescent="0.2">
      <c r="A168" t="s">
        <v>223</v>
      </c>
      <c r="B168">
        <v>1.1618190573818008E-3</v>
      </c>
      <c r="C168">
        <v>1.5996411652844074</v>
      </c>
      <c r="D168">
        <v>1.8584935907998556E-3</v>
      </c>
      <c r="E168">
        <f>+D168*-1</f>
        <v>-1.8584935907998556E-3</v>
      </c>
    </row>
    <row r="169" spans="1:5" x14ac:dyDescent="0.2">
      <c r="A169" t="s">
        <v>163</v>
      </c>
      <c r="B169">
        <v>1.2591390999173667E-3</v>
      </c>
      <c r="C169">
        <v>1.3012964083498459</v>
      </c>
      <c r="D169">
        <v>1.6385131883353272E-3</v>
      </c>
      <c r="E169">
        <f>+D169*-1</f>
        <v>-1.6385131883353272E-3</v>
      </c>
    </row>
    <row r="170" spans="1:5" x14ac:dyDescent="0.2">
      <c r="A170" t="s">
        <v>204</v>
      </c>
      <c r="B170">
        <v>1.4574299436662967E-3</v>
      </c>
      <c r="C170">
        <v>1.0539461385200137</v>
      </c>
      <c r="D170">
        <v>1.5360526612905345E-3</v>
      </c>
      <c r="E170">
        <f>+D170*-1</f>
        <v>-1.5360526612905345E-3</v>
      </c>
    </row>
    <row r="171" spans="1:5" x14ac:dyDescent="0.2">
      <c r="A171" t="s">
        <v>191</v>
      </c>
      <c r="B171">
        <v>1.3187994275374558E-3</v>
      </c>
      <c r="C171">
        <v>1.117000520476142</v>
      </c>
      <c r="D171">
        <v>1.4730996469629761E-3</v>
      </c>
      <c r="E171">
        <f>+D171*-1</f>
        <v>-1.4730996469629761E-3</v>
      </c>
    </row>
    <row r="172" spans="1:5" x14ac:dyDescent="0.2">
      <c r="A172" t="s">
        <v>73</v>
      </c>
      <c r="B172">
        <v>1.4388103543792768E-3</v>
      </c>
      <c r="C172">
        <v>1.0236736574281342</v>
      </c>
      <c r="D172">
        <v>1.4728722578129041E-3</v>
      </c>
      <c r="E172">
        <f>+D172*-1</f>
        <v>-1.4728722578129041E-3</v>
      </c>
    </row>
    <row r="173" spans="1:5" x14ac:dyDescent="0.2">
      <c r="A173" t="s">
        <v>88</v>
      </c>
      <c r="B173">
        <v>8.4628043118720794E-4</v>
      </c>
      <c r="C173">
        <v>1.486431177587461</v>
      </c>
      <c r="D173">
        <v>1.2579376178988258E-3</v>
      </c>
      <c r="E173">
        <f>+D173*-1</f>
        <v>-1.2579376178988258E-3</v>
      </c>
    </row>
    <row r="174" spans="1:5" x14ac:dyDescent="0.2">
      <c r="A174" t="s">
        <v>173</v>
      </c>
      <c r="B174">
        <v>9.1492838495118613E-4</v>
      </c>
      <c r="C174">
        <v>1.1425308094724402</v>
      </c>
      <c r="D174">
        <v>1.0453338682675911E-3</v>
      </c>
      <c r="E174">
        <f>+D174*-1</f>
        <v>-1.0453338682675911E-3</v>
      </c>
    </row>
    <row r="175" spans="1:5" x14ac:dyDescent="0.2">
      <c r="A175" t="s">
        <v>237</v>
      </c>
      <c r="B175">
        <v>8.5815189478263571E-4</v>
      </c>
      <c r="C175">
        <v>1.1977421080819868</v>
      </c>
      <c r="D175">
        <v>1.0278446595115055E-3</v>
      </c>
      <c r="E175">
        <f>+D175*-1</f>
        <v>-1.0278446595115055E-3</v>
      </c>
    </row>
    <row r="176" spans="1:5" x14ac:dyDescent="0.2">
      <c r="A176" t="s">
        <v>33</v>
      </c>
      <c r="B176">
        <v>7.2355806904997539E-4</v>
      </c>
      <c r="C176">
        <v>1.2821607912647601</v>
      </c>
      <c r="D176">
        <v>9.2771778633911838E-4</v>
      </c>
      <c r="E176">
        <f>+D176*-1</f>
        <v>-9.2771778633911838E-4</v>
      </c>
    </row>
    <row r="177" spans="1:5" x14ac:dyDescent="0.2">
      <c r="A177" t="s">
        <v>179</v>
      </c>
      <c r="B177">
        <v>6.0836848432420463E-4</v>
      </c>
      <c r="C177">
        <v>1.5004155432813153</v>
      </c>
      <c r="D177">
        <v>9.1280552992253189E-4</v>
      </c>
      <c r="E177">
        <f>+D177*-1</f>
        <v>-9.1280552992253189E-4</v>
      </c>
    </row>
    <row r="178" spans="1:5" x14ac:dyDescent="0.2">
      <c r="A178" t="s">
        <v>174</v>
      </c>
      <c r="B178">
        <v>6.6645346817419127E-4</v>
      </c>
      <c r="C178">
        <v>1.1416131733312576</v>
      </c>
      <c r="D178">
        <v>7.6083205867996076E-4</v>
      </c>
      <c r="E178">
        <f>+D178*-1</f>
        <v>-7.6083205867996076E-4</v>
      </c>
    </row>
    <row r="179" spans="1:5" x14ac:dyDescent="0.2">
      <c r="A179" t="s">
        <v>78</v>
      </c>
      <c r="B179">
        <v>3.4746422614521195E-4</v>
      </c>
      <c r="C179">
        <v>1.3830679897922242</v>
      </c>
      <c r="D179">
        <v>4.8056664877936907E-4</v>
      </c>
      <c r="E179">
        <f>+D179*-1</f>
        <v>-4.8056664877936907E-4</v>
      </c>
    </row>
    <row r="180" spans="1:5" x14ac:dyDescent="0.2">
      <c r="A180" t="s">
        <v>119</v>
      </c>
      <c r="B180">
        <v>2.5699871231906965E-4</v>
      </c>
      <c r="C180">
        <v>1.7918327476614246</v>
      </c>
      <c r="D180">
        <v>4.6049870884012662E-4</v>
      </c>
      <c r="E180">
        <f>+D180*-1</f>
        <v>-4.6049870884012662E-4</v>
      </c>
    </row>
    <row r="181" spans="1:5" x14ac:dyDescent="0.2">
      <c r="A181" t="s">
        <v>158</v>
      </c>
      <c r="B181">
        <v>3.5737736065341932E-4</v>
      </c>
      <c r="C181">
        <v>1.1710229609343334</v>
      </c>
      <c r="D181">
        <v>4.1849709504326426E-4</v>
      </c>
      <c r="E181">
        <f>+D181*-1</f>
        <v>-4.1849709504326426E-4</v>
      </c>
    </row>
    <row r="182" spans="1:5" x14ac:dyDescent="0.2">
      <c r="A182" t="s">
        <v>166</v>
      </c>
      <c r="B182">
        <v>-1.9017618060617521E-4</v>
      </c>
      <c r="C182">
        <v>1.0491826837728193</v>
      </c>
      <c r="D182">
        <v>-1.995295555580513E-4</v>
      </c>
      <c r="E182">
        <f>+D182*-1</f>
        <v>1.995295555580513E-4</v>
      </c>
    </row>
    <row r="183" spans="1:5" x14ac:dyDescent="0.2">
      <c r="A183" t="s">
        <v>187</v>
      </c>
      <c r="B183">
        <v>-2.5733889278700076E-4</v>
      </c>
      <c r="C183">
        <v>1.4137714064922404</v>
      </c>
      <c r="D183">
        <v>-3.6381836840063391E-4</v>
      </c>
      <c r="E183">
        <f>+D183*-1</f>
        <v>3.6381836840063391E-4</v>
      </c>
    </row>
    <row r="184" spans="1:5" x14ac:dyDescent="0.2">
      <c r="A184" t="s">
        <v>36</v>
      </c>
      <c r="B184">
        <v>-3.9385860365291018E-4</v>
      </c>
      <c r="C184">
        <v>1.13430730091642</v>
      </c>
      <c r="D184">
        <v>-4.4675668965224257E-4</v>
      </c>
      <c r="E184">
        <f>+D184*-1</f>
        <v>4.4675668965224257E-4</v>
      </c>
    </row>
    <row r="185" spans="1:5" x14ac:dyDescent="0.2">
      <c r="A185" t="s">
        <v>184</v>
      </c>
      <c r="B185">
        <v>-3.9270421709064474E-4</v>
      </c>
      <c r="C185">
        <v>1.155901997629214</v>
      </c>
      <c r="D185">
        <v>-4.5392758901249277E-4</v>
      </c>
      <c r="E185">
        <f>+D185*-1</f>
        <v>4.5392758901249277E-4</v>
      </c>
    </row>
    <row r="186" spans="1:5" x14ac:dyDescent="0.2">
      <c r="A186" t="s">
        <v>192</v>
      </c>
      <c r="B186">
        <v>-3.0285208407809447E-4</v>
      </c>
      <c r="C186">
        <v>1.5046113745142788</v>
      </c>
      <c r="D186">
        <v>-4.5567469049925569E-4</v>
      </c>
      <c r="E186">
        <f>+D186*-1</f>
        <v>4.5567469049925569E-4</v>
      </c>
    </row>
    <row r="187" spans="1:5" x14ac:dyDescent="0.2">
      <c r="A187" t="s">
        <v>85</v>
      </c>
      <c r="B187">
        <v>-3.7733761555820266E-4</v>
      </c>
      <c r="C187">
        <v>1.2671942709319723</v>
      </c>
      <c r="D187">
        <v>-4.7816006464248547E-4</v>
      </c>
      <c r="E187">
        <f>+D187*-1</f>
        <v>4.7816006464248547E-4</v>
      </c>
    </row>
    <row r="188" spans="1:5" x14ac:dyDescent="0.2">
      <c r="A188" t="s">
        <v>51</v>
      </c>
      <c r="B188">
        <v>-4.7705472024094694E-4</v>
      </c>
      <c r="C188">
        <v>1.215113487472441</v>
      </c>
      <c r="D188">
        <v>-5.7967562482716666E-4</v>
      </c>
      <c r="E188">
        <f>+D188*-1</f>
        <v>5.7967562482716666E-4</v>
      </c>
    </row>
    <row r="189" spans="1:5" x14ac:dyDescent="0.2">
      <c r="A189" t="s">
        <v>137</v>
      </c>
      <c r="B189">
        <v>-9.9089915391482007E-4</v>
      </c>
      <c r="C189">
        <v>1.098910810217302</v>
      </c>
      <c r="D189">
        <v>-1.088909792072174E-3</v>
      </c>
      <c r="E189">
        <f>+D189*-1</f>
        <v>1.088909792072174E-3</v>
      </c>
    </row>
    <row r="190" spans="1:5" x14ac:dyDescent="0.2">
      <c r="A190" t="s">
        <v>208</v>
      </c>
      <c r="B190">
        <v>-5.9796763800677374E-4</v>
      </c>
      <c r="C190">
        <v>1.9199309764107293</v>
      </c>
      <c r="D190">
        <v>-1.1480565911003626E-3</v>
      </c>
      <c r="E190">
        <f>+D190*-1</f>
        <v>1.1480565911003626E-3</v>
      </c>
    </row>
    <row r="191" spans="1:5" x14ac:dyDescent="0.2">
      <c r="A191" t="s">
        <v>46</v>
      </c>
      <c r="B191">
        <v>-1.2303410022746252E-3</v>
      </c>
      <c r="C191">
        <v>1.2822488757960198</v>
      </c>
      <c r="D191">
        <v>-1.5776033670123863E-3</v>
      </c>
      <c r="E191">
        <f>+D191*-1</f>
        <v>1.5776033670123863E-3</v>
      </c>
    </row>
    <row r="192" spans="1:5" x14ac:dyDescent="0.2">
      <c r="A192" t="s">
        <v>95</v>
      </c>
      <c r="B192">
        <v>-1.0873062975470084E-3</v>
      </c>
      <c r="C192">
        <v>1.494380515921329</v>
      </c>
      <c r="D192">
        <v>-1.6248493458928086E-3</v>
      </c>
      <c r="E192">
        <f>+D192*-1</f>
        <v>1.6248493458928086E-3</v>
      </c>
    </row>
    <row r="193" spans="1:5" x14ac:dyDescent="0.2">
      <c r="A193" t="s">
        <v>251</v>
      </c>
      <c r="B193">
        <v>-1.3523892327437547E-3</v>
      </c>
      <c r="C193">
        <v>1.3355311964249994</v>
      </c>
      <c r="D193">
        <v>-1.8061580100385537E-3</v>
      </c>
      <c r="E193">
        <f>+D193*-1</f>
        <v>1.8061580100385537E-3</v>
      </c>
    </row>
    <row r="194" spans="1:5" x14ac:dyDescent="0.2">
      <c r="A194" t="s">
        <v>37</v>
      </c>
      <c r="B194">
        <v>-1.425255263783916E-3</v>
      </c>
      <c r="C194">
        <v>1.4882819861910432</v>
      </c>
      <c r="D194">
        <v>-2.1211817348135657E-3</v>
      </c>
      <c r="E194">
        <f>+D194*-1</f>
        <v>2.1211817348135657E-3</v>
      </c>
    </row>
    <row r="195" spans="1:5" x14ac:dyDescent="0.2">
      <c r="A195" t="s">
        <v>216</v>
      </c>
      <c r="B195">
        <v>-1.76008981047494E-3</v>
      </c>
      <c r="C195">
        <v>1.2861825771238862</v>
      </c>
      <c r="D195">
        <v>-2.2637968484061507E-3</v>
      </c>
      <c r="E195">
        <f>+D195*-1</f>
        <v>2.2637968484061507E-3</v>
      </c>
    </row>
    <row r="196" spans="1:5" x14ac:dyDescent="0.2">
      <c r="A196" t="s">
        <v>178</v>
      </c>
      <c r="B196">
        <v>-2.1464500367732722E-3</v>
      </c>
      <c r="C196">
        <v>1.1065543985170436</v>
      </c>
      <c r="D196">
        <v>-2.3751637293885344E-3</v>
      </c>
      <c r="E196">
        <f>+D196*-1</f>
        <v>2.3751637293885344E-3</v>
      </c>
    </row>
    <row r="197" spans="1:5" x14ac:dyDescent="0.2">
      <c r="A197" t="s">
        <v>176</v>
      </c>
      <c r="B197">
        <v>-1.3618166252495571E-3</v>
      </c>
      <c r="C197">
        <v>1.7744150929156006</v>
      </c>
      <c r="D197">
        <v>-2.4164279736262023E-3</v>
      </c>
      <c r="E197">
        <f>+D197*-1</f>
        <v>2.4164279736262023E-3</v>
      </c>
    </row>
    <row r="198" spans="1:5" x14ac:dyDescent="0.2">
      <c r="A198" t="s">
        <v>76</v>
      </c>
      <c r="B198">
        <v>-1.7407841959679472E-3</v>
      </c>
      <c r="C198">
        <v>1.5574778617850198</v>
      </c>
      <c r="D198">
        <v>-2.7112328473653134E-3</v>
      </c>
      <c r="E198">
        <f>+D198*-1</f>
        <v>2.7112328473653134E-3</v>
      </c>
    </row>
    <row r="199" spans="1:5" x14ac:dyDescent="0.2">
      <c r="A199" t="s">
        <v>245</v>
      </c>
      <c r="B199">
        <v>-2.6532267781378596E-3</v>
      </c>
      <c r="C199">
        <v>1.0587873611319862</v>
      </c>
      <c r="D199">
        <v>-2.8092029789093063E-3</v>
      </c>
      <c r="E199">
        <f>+D199*-1</f>
        <v>2.8092029789093063E-3</v>
      </c>
    </row>
    <row r="200" spans="1:5" x14ac:dyDescent="0.2">
      <c r="A200" t="s">
        <v>98</v>
      </c>
      <c r="B200">
        <v>-2.6368647912919842E-3</v>
      </c>
      <c r="C200">
        <v>1.0748743833374625</v>
      </c>
      <c r="D200">
        <v>-2.8342984164842384E-3</v>
      </c>
      <c r="E200">
        <f>+D200*-1</f>
        <v>2.8342984164842384E-3</v>
      </c>
    </row>
    <row r="201" spans="1:5" x14ac:dyDescent="0.2">
      <c r="A201" t="s">
        <v>71</v>
      </c>
      <c r="B201">
        <v>-2.701262072040295E-3</v>
      </c>
      <c r="C201">
        <v>1.1177728303843684</v>
      </c>
      <c r="D201">
        <v>-3.0193973518744242E-3</v>
      </c>
      <c r="E201">
        <f>+D201*-1</f>
        <v>3.0193973518744242E-3</v>
      </c>
    </row>
    <row r="202" spans="1:5" x14ac:dyDescent="0.2">
      <c r="A202" t="s">
        <v>108</v>
      </c>
      <c r="B202">
        <v>-3.139392112061613E-3</v>
      </c>
      <c r="C202">
        <v>1.235043249098337</v>
      </c>
      <c r="D202">
        <v>-3.8772850342742647E-3</v>
      </c>
      <c r="E202">
        <f>+D202*-1</f>
        <v>3.8772850342742647E-3</v>
      </c>
    </row>
    <row r="203" spans="1:5" x14ac:dyDescent="0.2">
      <c r="A203" t="s">
        <v>14</v>
      </c>
      <c r="B203">
        <v>-2.8469265173107754E-3</v>
      </c>
      <c r="C203">
        <v>1.3717000250472973</v>
      </c>
      <c r="D203">
        <v>-3.9051291751030053E-3</v>
      </c>
      <c r="E203">
        <f>+D203*-1</f>
        <v>3.9051291751030053E-3</v>
      </c>
    </row>
    <row r="204" spans="1:5" x14ac:dyDescent="0.2">
      <c r="A204" t="s">
        <v>238</v>
      </c>
      <c r="B204">
        <v>-2.6681954723678418E-3</v>
      </c>
      <c r="C204">
        <v>1.5178915420907013</v>
      </c>
      <c r="D204">
        <v>-4.0500313401518511E-3</v>
      </c>
      <c r="E204">
        <f>+D204*-1</f>
        <v>4.0500313401518511E-3</v>
      </c>
    </row>
    <row r="205" spans="1:5" x14ac:dyDescent="0.2">
      <c r="A205" t="s">
        <v>107</v>
      </c>
      <c r="B205">
        <v>-3.5480574762542212E-3</v>
      </c>
      <c r="C205">
        <v>1.2700164572395014</v>
      </c>
      <c r="D205">
        <v>-4.506091386074512E-3</v>
      </c>
      <c r="E205">
        <f>+D205*-1</f>
        <v>4.506091386074512E-3</v>
      </c>
    </row>
    <row r="206" spans="1:5" x14ac:dyDescent="0.2">
      <c r="A206" t="s">
        <v>139</v>
      </c>
      <c r="B206">
        <v>-4.4356866859759144E-3</v>
      </c>
      <c r="C206">
        <v>1.0341979914703734</v>
      </c>
      <c r="D206">
        <v>-4.5873782614281678E-3</v>
      </c>
      <c r="E206">
        <f>+D206*-1</f>
        <v>4.5873782614281678E-3</v>
      </c>
    </row>
    <row r="207" spans="1:5" x14ac:dyDescent="0.2">
      <c r="A207" t="s">
        <v>199</v>
      </c>
      <c r="B207">
        <v>-3.7195554257699742E-3</v>
      </c>
      <c r="C207">
        <v>1.2456433988403495</v>
      </c>
      <c r="D207">
        <v>-4.6332396627311737E-3</v>
      </c>
      <c r="E207">
        <f>+D207*-1</f>
        <v>4.6332396627311737E-3</v>
      </c>
    </row>
    <row r="208" spans="1:5" x14ac:dyDescent="0.2">
      <c r="A208" t="s">
        <v>120</v>
      </c>
      <c r="B208">
        <v>-2.5524530197367891E-3</v>
      </c>
      <c r="C208">
        <v>1.9782992311644212</v>
      </c>
      <c r="D208">
        <v>-5.0495158465285947E-3</v>
      </c>
      <c r="E208">
        <f>+D208*-1</f>
        <v>5.0495158465285947E-3</v>
      </c>
    </row>
    <row r="209" spans="1:5" x14ac:dyDescent="0.2">
      <c r="A209" t="s">
        <v>136</v>
      </c>
      <c r="B209">
        <v>-3.4114205969676325E-3</v>
      </c>
      <c r="C209">
        <v>1.4918251993146849</v>
      </c>
      <c r="D209">
        <v>-5.0892432120174603E-3</v>
      </c>
      <c r="E209">
        <f>+D209*-1</f>
        <v>5.0892432120174603E-3</v>
      </c>
    </row>
    <row r="210" spans="1:5" x14ac:dyDescent="0.2">
      <c r="A210" t="s">
        <v>17</v>
      </c>
      <c r="B210">
        <v>-4.6918636668983344E-3</v>
      </c>
      <c r="C210">
        <v>1.1625575757323339</v>
      </c>
      <c r="D210">
        <v>-5.4545616502559464E-3</v>
      </c>
      <c r="E210">
        <f>+D210*-1</f>
        <v>5.4545616502559464E-3</v>
      </c>
    </row>
    <row r="211" spans="1:5" x14ac:dyDescent="0.2">
      <c r="A211" t="s">
        <v>53</v>
      </c>
      <c r="B211">
        <v>-4.2615053626547921E-3</v>
      </c>
      <c r="C211">
        <v>1.3090188276268606</v>
      </c>
      <c r="D211">
        <v>-5.5783907537479555E-3</v>
      </c>
      <c r="E211">
        <f>+D211*-1</f>
        <v>5.5783907537479555E-3</v>
      </c>
    </row>
    <row r="212" spans="1:5" x14ac:dyDescent="0.2">
      <c r="A212" t="s">
        <v>177</v>
      </c>
      <c r="B212">
        <v>-4.819253181574364E-3</v>
      </c>
      <c r="C212">
        <v>1.2236093850990359</v>
      </c>
      <c r="D212">
        <v>-5.8968834221427803E-3</v>
      </c>
      <c r="E212">
        <f>+D212*-1</f>
        <v>5.8968834221427803E-3</v>
      </c>
    </row>
    <row r="213" spans="1:5" x14ac:dyDescent="0.2">
      <c r="A213" t="s">
        <v>196</v>
      </c>
      <c r="B213">
        <v>-4.0317878142494112E-3</v>
      </c>
      <c r="C213">
        <v>1.4955809899470482</v>
      </c>
      <c r="D213">
        <v>-6.0298652104915805E-3</v>
      </c>
      <c r="E213">
        <f>+D213*-1</f>
        <v>6.0298652104915805E-3</v>
      </c>
    </row>
    <row r="214" spans="1:5" x14ac:dyDescent="0.2">
      <c r="A214" t="s">
        <v>195</v>
      </c>
      <c r="B214">
        <v>-5.2491563496306209E-3</v>
      </c>
      <c r="C214">
        <v>1.1599036667092719</v>
      </c>
      <c r="D214">
        <v>-6.0885156970668141E-3</v>
      </c>
      <c r="E214">
        <f>+D214*-1</f>
        <v>6.0885156970668141E-3</v>
      </c>
    </row>
    <row r="215" spans="1:5" x14ac:dyDescent="0.2">
      <c r="A215" t="s">
        <v>47</v>
      </c>
      <c r="B215">
        <v>-5.0994457354492408E-3</v>
      </c>
      <c r="C215">
        <v>1.3024921346262885</v>
      </c>
      <c r="D215">
        <v>-6.6419879613762054E-3</v>
      </c>
      <c r="E215">
        <f>+D215*-1</f>
        <v>6.6419879613762054E-3</v>
      </c>
    </row>
    <row r="216" spans="1:5" x14ac:dyDescent="0.2">
      <c r="A216" t="s">
        <v>205</v>
      </c>
      <c r="B216">
        <v>-6.7375999177293044E-3</v>
      </c>
      <c r="C216">
        <v>1.0448833340698049</v>
      </c>
      <c r="D216">
        <v>-7.0400058656654389E-3</v>
      </c>
      <c r="E216">
        <f>+D216*-1</f>
        <v>7.0400058656654389E-3</v>
      </c>
    </row>
    <row r="217" spans="1:5" x14ac:dyDescent="0.2">
      <c r="A217" t="s">
        <v>77</v>
      </c>
      <c r="B217">
        <v>-5.4419997586581306E-3</v>
      </c>
      <c r="C217">
        <v>1.3908028949859621</v>
      </c>
      <c r="D217">
        <v>-7.5687490188546354E-3</v>
      </c>
      <c r="E217">
        <f>+D217*-1</f>
        <v>7.5687490188546354E-3</v>
      </c>
    </row>
    <row r="218" spans="1:5" x14ac:dyDescent="0.2">
      <c r="A218" t="s">
        <v>194</v>
      </c>
      <c r="B218">
        <v>-6.9052260928589102E-3</v>
      </c>
      <c r="C218">
        <v>1.1777826367858575</v>
      </c>
      <c r="D218">
        <v>-8.1328553952498724E-3</v>
      </c>
      <c r="E218">
        <f>+D218*-1</f>
        <v>8.1328553952498724E-3</v>
      </c>
    </row>
    <row r="219" spans="1:5" x14ac:dyDescent="0.2">
      <c r="A219" t="s">
        <v>83</v>
      </c>
      <c r="B219">
        <v>-4.3450634053563177E-3</v>
      </c>
      <c r="C219">
        <v>1.9266033223052283</v>
      </c>
      <c r="D219">
        <v>-8.3712135923863507E-3</v>
      </c>
      <c r="E219">
        <f>+D219*-1</f>
        <v>8.3712135923863507E-3</v>
      </c>
    </row>
    <row r="220" spans="1:5" x14ac:dyDescent="0.2">
      <c r="A220" t="s">
        <v>106</v>
      </c>
      <c r="B220">
        <v>-6.2141540592795374E-3</v>
      </c>
      <c r="C220">
        <v>1.4028990430227766</v>
      </c>
      <c r="D220">
        <v>-8.7178307829593651E-3</v>
      </c>
      <c r="E220">
        <f>+D220*-1</f>
        <v>8.7178307829593651E-3</v>
      </c>
    </row>
    <row r="221" spans="1:5" x14ac:dyDescent="0.2">
      <c r="A221" t="s">
        <v>11</v>
      </c>
      <c r="B221">
        <v>-6.3973057813376498E-3</v>
      </c>
      <c r="C221">
        <v>1.4619143476093055</v>
      </c>
      <c r="D221">
        <v>-9.3523131077814688E-3</v>
      </c>
      <c r="E221">
        <f>+D221*-1</f>
        <v>9.3523131077814688E-3</v>
      </c>
    </row>
    <row r="222" spans="1:5" x14ac:dyDescent="0.2">
      <c r="A222" t="s">
        <v>170</v>
      </c>
      <c r="B222">
        <v>-6.3101998980678829E-3</v>
      </c>
      <c r="C222">
        <v>1.4938952085586883</v>
      </c>
      <c r="D222">
        <v>-9.4267773927711341E-3</v>
      </c>
      <c r="E222">
        <f>+D222*-1</f>
        <v>9.4267773927711341E-3</v>
      </c>
    </row>
    <row r="223" spans="1:5" x14ac:dyDescent="0.2">
      <c r="A223" t="s">
        <v>101</v>
      </c>
      <c r="B223">
        <v>-6.9759544803016243E-3</v>
      </c>
      <c r="C223">
        <v>1.3721855243203285</v>
      </c>
      <c r="D223">
        <v>-9.5723037561874294E-3</v>
      </c>
      <c r="E223">
        <f>+D223*-1</f>
        <v>9.5723037561874294E-3</v>
      </c>
    </row>
    <row r="224" spans="1:5" x14ac:dyDescent="0.2">
      <c r="A224" t="s">
        <v>212</v>
      </c>
      <c r="B224">
        <v>-7.4170466906560272E-3</v>
      </c>
      <c r="C224">
        <v>1.3740970417464964</v>
      </c>
      <c r="D224">
        <v>-1.0191741916126087E-2</v>
      </c>
      <c r="E224">
        <f>+D224*-1</f>
        <v>1.0191741916126087E-2</v>
      </c>
    </row>
    <row r="225" spans="1:5" x14ac:dyDescent="0.2">
      <c r="A225" t="s">
        <v>81</v>
      </c>
      <c r="B225">
        <v>-8.3722103454344551E-3</v>
      </c>
      <c r="C225">
        <v>1.2261584572056032</v>
      </c>
      <c r="D225">
        <v>-1.0265656520558702E-2</v>
      </c>
      <c r="E225">
        <f>+D225*-1</f>
        <v>1.0265656520558702E-2</v>
      </c>
    </row>
    <row r="226" spans="1:5" x14ac:dyDescent="0.2">
      <c r="A226" t="s">
        <v>89</v>
      </c>
      <c r="B226">
        <v>-6.6342705789279432E-3</v>
      </c>
      <c r="C226">
        <v>1.5814275087093685</v>
      </c>
      <c r="D226">
        <v>-1.0491617993737877E-2</v>
      </c>
      <c r="E226">
        <f>+D226*-1</f>
        <v>1.0491617993737877E-2</v>
      </c>
    </row>
    <row r="227" spans="1:5" x14ac:dyDescent="0.2">
      <c r="A227" t="s">
        <v>12</v>
      </c>
      <c r="B227">
        <v>-9.3048453738133162E-3</v>
      </c>
      <c r="C227">
        <v>1.1423817286921256</v>
      </c>
      <c r="D227">
        <v>-1.0629685343349784E-2</v>
      </c>
      <c r="E227">
        <f>+D227*-1</f>
        <v>1.0629685343349784E-2</v>
      </c>
    </row>
    <row r="228" spans="1:5" x14ac:dyDescent="0.2">
      <c r="A228" t="s">
        <v>147</v>
      </c>
      <c r="B228">
        <v>-8.9908447165197476E-3</v>
      </c>
      <c r="C228">
        <v>1.1913195225959505</v>
      </c>
      <c r="D228">
        <v>-1.071096883541863E-2</v>
      </c>
      <c r="E228">
        <f>+D228*-1</f>
        <v>1.071096883541863E-2</v>
      </c>
    </row>
    <row r="229" spans="1:5" x14ac:dyDescent="0.2">
      <c r="A229" t="s">
        <v>181</v>
      </c>
      <c r="B229">
        <v>-1.014098972316602E-2</v>
      </c>
      <c r="C229">
        <v>1.058131786339483</v>
      </c>
      <c r="D229">
        <v>-1.0730503571024E-2</v>
      </c>
      <c r="E229">
        <f>+D229*-1</f>
        <v>1.0730503571024E-2</v>
      </c>
    </row>
    <row r="230" spans="1:5" x14ac:dyDescent="0.2">
      <c r="A230" t="s">
        <v>149</v>
      </c>
      <c r="B230">
        <v>-6.85138343633474E-3</v>
      </c>
      <c r="C230">
        <v>1.618226849499897</v>
      </c>
      <c r="D230">
        <v>-1.1087092632895744E-2</v>
      </c>
      <c r="E230">
        <f>+D230*-1</f>
        <v>1.1087092632895744E-2</v>
      </c>
    </row>
    <row r="231" spans="1:5" x14ac:dyDescent="0.2">
      <c r="A231" t="s">
        <v>182</v>
      </c>
      <c r="B231">
        <v>-9.6573334435917889E-3</v>
      </c>
      <c r="C231">
        <v>1.2463824000185681</v>
      </c>
      <c r="D231">
        <v>-1.2036730435203518E-2</v>
      </c>
      <c r="E231">
        <f>+D231*-1</f>
        <v>1.2036730435203518E-2</v>
      </c>
    </row>
    <row r="232" spans="1:5" x14ac:dyDescent="0.2">
      <c r="A232" t="s">
        <v>99</v>
      </c>
      <c r="B232">
        <v>-1.239013262226106E-2</v>
      </c>
      <c r="C232">
        <v>1.0071246000691332</v>
      </c>
      <c r="D232">
        <v>-1.247840736199819E-2</v>
      </c>
      <c r="E232">
        <f>+D232*-1</f>
        <v>1.247840736199819E-2</v>
      </c>
    </row>
    <row r="233" spans="1:5" x14ac:dyDescent="0.2">
      <c r="A233" t="s">
        <v>7</v>
      </c>
      <c r="B233">
        <v>-9.8581999900313119E-3</v>
      </c>
      <c r="C233">
        <v>1.3224199549487445</v>
      </c>
      <c r="D233">
        <v>-1.3036680386692921E-2</v>
      </c>
      <c r="E233">
        <f>+D233*-1</f>
        <v>1.3036680386692921E-2</v>
      </c>
    </row>
    <row r="234" spans="1:5" x14ac:dyDescent="0.2">
      <c r="A234" t="s">
        <v>214</v>
      </c>
      <c r="B234">
        <v>-1.0142877675256338E-2</v>
      </c>
      <c r="C234">
        <v>1.2911916962689971</v>
      </c>
      <c r="D234">
        <v>-1.3096399430563174E-2</v>
      </c>
      <c r="E234">
        <f>+D234*-1</f>
        <v>1.3096399430563174E-2</v>
      </c>
    </row>
    <row r="235" spans="1:5" x14ac:dyDescent="0.2">
      <c r="A235" t="s">
        <v>168</v>
      </c>
      <c r="B235">
        <v>-1.0524937541132044E-2</v>
      </c>
      <c r="C235">
        <v>1.2738030362387474</v>
      </c>
      <c r="D235">
        <v>-1.3406697396117172E-2</v>
      </c>
      <c r="E235">
        <f>+D235*-1</f>
        <v>1.3406697396117172E-2</v>
      </c>
    </row>
    <row r="236" spans="1:5" x14ac:dyDescent="0.2">
      <c r="A236" t="s">
        <v>215</v>
      </c>
      <c r="B236">
        <v>-1.0262379621411232E-2</v>
      </c>
      <c r="C236">
        <v>1.3846972518504415</v>
      </c>
      <c r="D236">
        <v>-1.4210288859214106E-2</v>
      </c>
      <c r="E236">
        <f>+D236*-1</f>
        <v>1.4210288859214106E-2</v>
      </c>
    </row>
    <row r="237" spans="1:5" x14ac:dyDescent="0.2">
      <c r="A237" t="s">
        <v>130</v>
      </c>
      <c r="B237">
        <v>-9.9135660744507133E-3</v>
      </c>
      <c r="C237">
        <v>1.4851052346829721</v>
      </c>
      <c r="D237">
        <v>-1.4722688871542277E-2</v>
      </c>
      <c r="E237">
        <f>+D237*-1</f>
        <v>1.4722688871542277E-2</v>
      </c>
    </row>
    <row r="238" spans="1:5" x14ac:dyDescent="0.2">
      <c r="A238" t="s">
        <v>134</v>
      </c>
      <c r="B238">
        <v>-9.7484718926938406E-3</v>
      </c>
      <c r="C238">
        <v>1.5252892994902014</v>
      </c>
      <c r="D238">
        <v>-1.4869239864306907E-2</v>
      </c>
      <c r="E238">
        <f>+D238*-1</f>
        <v>1.4869239864306907E-2</v>
      </c>
    </row>
    <row r="239" spans="1:5" x14ac:dyDescent="0.2">
      <c r="A239" t="s">
        <v>232</v>
      </c>
      <c r="B239">
        <v>-1.4450738544244633E-2</v>
      </c>
      <c r="C239">
        <v>1.0428028269163212</v>
      </c>
      <c r="D239">
        <v>-1.5069271004966947E-2</v>
      </c>
      <c r="E239">
        <f>+D239*-1</f>
        <v>1.5069271004966947E-2</v>
      </c>
    </row>
    <row r="240" spans="1:5" x14ac:dyDescent="0.2">
      <c r="A240" t="s">
        <v>226</v>
      </c>
      <c r="B240">
        <v>-1.4731664566416981E-2</v>
      </c>
      <c r="C240">
        <v>1.134776810875975</v>
      </c>
      <c r="D240">
        <v>-1.6717151335573267E-2</v>
      </c>
      <c r="E240">
        <f>+D240*-1</f>
        <v>1.6717151335573267E-2</v>
      </c>
    </row>
    <row r="241" spans="1:5" x14ac:dyDescent="0.2">
      <c r="A241" t="s">
        <v>249</v>
      </c>
      <c r="B241">
        <v>-1.3145404296761254E-2</v>
      </c>
      <c r="C241">
        <v>1.3046904079835786</v>
      </c>
      <c r="D241">
        <v>-1.7150682895050527E-2</v>
      </c>
      <c r="E241">
        <f>+D241*-1</f>
        <v>1.7150682895050527E-2</v>
      </c>
    </row>
    <row r="242" spans="1:5" x14ac:dyDescent="0.2">
      <c r="A242" t="s">
        <v>164</v>
      </c>
      <c r="B242">
        <v>-1.3911747074724919E-2</v>
      </c>
      <c r="C242">
        <v>1.4093154928123355</v>
      </c>
      <c r="D242">
        <v>-1.9606040684496517E-2</v>
      </c>
      <c r="E242">
        <f>+D242*-1</f>
        <v>1.9606040684496517E-2</v>
      </c>
    </row>
    <row r="243" spans="1:5" x14ac:dyDescent="0.2">
      <c r="A243" t="s">
        <v>145</v>
      </c>
      <c r="B243">
        <v>-1.6188056758719274E-2</v>
      </c>
      <c r="C243">
        <v>1.4251508343583599</v>
      </c>
      <c r="D243">
        <v>-2.307042259632926E-2</v>
      </c>
      <c r="E243">
        <f>+D243*-1</f>
        <v>2.307042259632926E-2</v>
      </c>
    </row>
    <row r="244" spans="1:5" x14ac:dyDescent="0.2">
      <c r="A244" t="s">
        <v>225</v>
      </c>
      <c r="B244">
        <v>-1.8522440955177751E-2</v>
      </c>
      <c r="C244">
        <v>1.27575818137897</v>
      </c>
      <c r="D244">
        <v>-2.3630155587676921E-2</v>
      </c>
      <c r="E244">
        <f>+D244*-1</f>
        <v>2.3630155587676921E-2</v>
      </c>
    </row>
    <row r="245" spans="1:5" x14ac:dyDescent="0.2">
      <c r="A245" t="s">
        <v>5</v>
      </c>
      <c r="B245">
        <v>-1.4021696939343648E-2</v>
      </c>
      <c r="C245">
        <v>1.7428581210871816</v>
      </c>
      <c r="D245">
        <v>-2.4437828382158355E-2</v>
      </c>
      <c r="E245">
        <f>+D245*-1</f>
        <v>2.4437828382158355E-2</v>
      </c>
    </row>
    <row r="246" spans="1:5" x14ac:dyDescent="0.2">
      <c r="A246" t="s">
        <v>242</v>
      </c>
      <c r="B246">
        <v>-1.8535229198211517E-2</v>
      </c>
      <c r="C246">
        <v>1.4232019732759065</v>
      </c>
      <c r="D246">
        <v>-2.6379374770015829E-2</v>
      </c>
      <c r="E246">
        <f>+D246*-1</f>
        <v>2.6379374770015829E-2</v>
      </c>
    </row>
    <row r="247" spans="1:5" x14ac:dyDescent="0.2">
      <c r="A247" t="s">
        <v>20</v>
      </c>
      <c r="B247">
        <v>9.6441692428869382E-4</v>
      </c>
      <c r="C247">
        <v>1.05001550300896</v>
      </c>
      <c r="D247">
        <v>-4.8987347278132656E-2</v>
      </c>
      <c r="E247">
        <f>+D247*-1</f>
        <v>4.8987347278132656E-2</v>
      </c>
    </row>
    <row r="248" spans="1:5" x14ac:dyDescent="0.2">
      <c r="A248" t="s">
        <v>40</v>
      </c>
      <c r="B248">
        <v>4.601333843243763E-4</v>
      </c>
      <c r="C248">
        <v>1.4573369242736081</v>
      </c>
      <c r="D248">
        <v>-7.9329430628933106E-2</v>
      </c>
      <c r="E248">
        <f>+D248*-1</f>
        <v>7.9329430628933106E-2</v>
      </c>
    </row>
    <row r="249" spans="1:5" x14ac:dyDescent="0.2">
      <c r="A249" t="s">
        <v>91</v>
      </c>
      <c r="B249">
        <v>1.2335375038918357E-2</v>
      </c>
      <c r="C249">
        <v>1.0534031968021071</v>
      </c>
      <c r="D249">
        <v>-0.10700587650025048</v>
      </c>
      <c r="E249">
        <f>+D249*-1</f>
        <v>0.10700587650025048</v>
      </c>
    </row>
    <row r="250" spans="1:5" x14ac:dyDescent="0.2">
      <c r="A250" t="s">
        <v>55</v>
      </c>
      <c r="B250">
        <v>1.0215724177913922E-2</v>
      </c>
      <c r="C250">
        <v>1.2501970773978666</v>
      </c>
      <c r="D250">
        <v>-0.10722833148926929</v>
      </c>
      <c r="E250">
        <f>+D250*-1</f>
        <v>0.10722833148926929</v>
      </c>
    </row>
  </sheetData>
  <sortState xmlns:xlrd2="http://schemas.microsoft.com/office/spreadsheetml/2017/richdata2" ref="A2:E250">
    <sortCondition ref="E1:E25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foly ananou</dc:creator>
  <cp:lastModifiedBy>foly ananou</cp:lastModifiedBy>
  <dcterms:created xsi:type="dcterms:W3CDTF">2026-02-10T11:50:48Z</dcterms:created>
  <dcterms:modified xsi:type="dcterms:W3CDTF">2026-02-10T13:27:54Z</dcterms:modified>
</cp:coreProperties>
</file>